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DieseArbeitsmappe"/>
  <mc:AlternateContent xmlns:mc="http://schemas.openxmlformats.org/markup-compatibility/2006">
    <mc:Choice Requires="x15">
      <x15ac:absPath xmlns:x15ac="http://schemas.microsoft.com/office/spreadsheetml/2010/11/ac" url="https://hansebk-my.sharepoint.com/personal/fue_teacher_hanse-berufskolleg_de/Documents/HBK/Skripte/Mathe/Ich kann Listen/"/>
    </mc:Choice>
  </mc:AlternateContent>
  <xr:revisionPtr revIDLastSave="4144" documentId="8_{3C34A519-53E3-4281-A5AC-2D4E6CD062EE}" xr6:coauthVersionLast="47" xr6:coauthVersionMax="47" xr10:uidLastSave="{75F875E1-ADDF-44E7-BB3F-4CB6D073EF3F}"/>
  <bookViews>
    <workbookView xWindow="-98" yWindow="-98" windowWidth="20715" windowHeight="13155" activeTab="1" xr2:uid="{0B272BAC-C477-48B6-90A6-043BF20DB78E}"/>
  </bookViews>
  <sheets>
    <sheet name="Tabelle1" sheetId="1" r:id="rId1"/>
    <sheet name="Tabelle2" sheetId="3" r:id="rId2"/>
    <sheet name="Tabelle4" sheetId="5" r:id="rId3"/>
    <sheet name="Helper" sheetId="2" r:id="rId4"/>
  </sheets>
  <definedNames>
    <definedName name="_xlnm._FilterDatabase" localSheetId="1" hidden="1">Tabelle2!$A$1:$D$48</definedName>
    <definedName name="Datenschnitt_Gebiet">#N/A</definedName>
    <definedName name="Datenschnitt_Ich_kann..">#N/A</definedName>
    <definedName name="Datenschnitt_Situation">#N/A</definedName>
    <definedName name="prompt">Helper!$C$1</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4" i="3" l="1"/>
  <c r="D44" i="3" s="1"/>
  <c r="C42" i="3"/>
  <c r="D42" i="3" s="1"/>
  <c r="C43" i="3"/>
  <c r="D43" i="3" s="1"/>
  <c r="C40" i="3"/>
  <c r="D40" i="3" s="1"/>
  <c r="C41" i="3"/>
  <c r="D41" i="3" s="1"/>
  <c r="C38" i="3"/>
  <c r="D38" i="3" s="1"/>
  <c r="C39" i="3"/>
  <c r="D39" i="3" s="1"/>
  <c r="C28" i="3"/>
  <c r="D28" i="3"/>
  <c r="C29" i="3"/>
  <c r="D29" i="3" s="1"/>
  <c r="C30" i="3"/>
  <c r="D30" i="3" s="1"/>
  <c r="C31" i="3"/>
  <c r="D31" i="3" s="1"/>
  <c r="C32" i="3"/>
  <c r="D32" i="3" s="1"/>
  <c r="C33" i="3"/>
  <c r="D33" i="3" s="1"/>
  <c r="C34" i="3"/>
  <c r="D34" i="3" s="1"/>
  <c r="C35" i="3"/>
  <c r="D35" i="3" s="1"/>
  <c r="C36" i="3"/>
  <c r="D36" i="3" s="1"/>
  <c r="C37" i="3"/>
  <c r="D37" i="3" s="1"/>
  <c r="C27" i="3"/>
  <c r="D27" i="3" s="1"/>
  <c r="D2" i="3"/>
  <c r="D3" i="3"/>
  <c r="D4" i="3"/>
  <c r="D18" i="3"/>
  <c r="D19" i="3"/>
  <c r="D20" i="3"/>
  <c r="D21" i="3"/>
  <c r="D22" i="3"/>
  <c r="D23" i="3"/>
  <c r="D24" i="3"/>
  <c r="D25" i="3"/>
  <c r="D26" i="3"/>
  <c r="D6" i="3"/>
  <c r="D7" i="3"/>
  <c r="D8" i="3"/>
  <c r="D9" i="3"/>
  <c r="D10" i="3"/>
  <c r="D11" i="3"/>
  <c r="D12" i="3"/>
  <c r="D13" i="3"/>
  <c r="D14" i="3"/>
  <c r="D15" i="3"/>
  <c r="D16" i="3"/>
  <c r="D17" i="3"/>
  <c r="D5" i="3"/>
  <c r="C11" i="1"/>
  <c r="C4" i="1"/>
  <c r="D12" i="1"/>
  <c r="C49" i="1"/>
  <c r="C48" i="1"/>
  <c r="C47" i="1"/>
  <c r="C46" i="1"/>
  <c r="C45" i="1"/>
  <c r="C44" i="1"/>
  <c r="C43" i="1"/>
  <c r="C42" i="1"/>
  <c r="C41" i="1"/>
  <c r="C20" i="1"/>
  <c r="C19" i="1"/>
  <c r="C18" i="1"/>
  <c r="C5" i="1"/>
  <c r="C6" i="1"/>
  <c r="C7" i="1"/>
  <c r="C8" i="1"/>
  <c r="C9" i="1"/>
  <c r="C10" i="1"/>
  <c r="C12" i="1"/>
  <c r="C13" i="1"/>
  <c r="C14" i="1"/>
  <c r="C15" i="1"/>
  <c r="C16" i="1"/>
  <c r="B39" i="1"/>
  <c r="C39" i="1" s="1"/>
  <c r="B38" i="1"/>
  <c r="C38" i="1" s="1"/>
  <c r="B37" i="1"/>
  <c r="C37" i="1" s="1"/>
  <c r="B36" i="1"/>
  <c r="C36" i="1" s="1"/>
  <c r="B35" i="1"/>
  <c r="C35" i="1" s="1"/>
  <c r="B34" i="1"/>
  <c r="C34" i="1" s="1"/>
  <c r="B33" i="1"/>
  <c r="C33" i="1" s="1"/>
  <c r="B32" i="1"/>
  <c r="C32" i="1" s="1"/>
  <c r="B31" i="1"/>
  <c r="C31" i="1" s="1"/>
  <c r="B30" i="1"/>
  <c r="C30" i="1" s="1"/>
  <c r="B29" i="1"/>
  <c r="C29" i="1" s="1"/>
  <c r="B28" i="1"/>
  <c r="C28" i="1" s="1"/>
  <c r="B27" i="1"/>
  <c r="C27" i="1" s="1"/>
  <c r="B26" i="1"/>
  <c r="C26" i="1" s="1"/>
  <c r="B25" i="1"/>
  <c r="C25" i="1" s="1"/>
  <c r="B24" i="1"/>
  <c r="C24" i="1" s="1"/>
  <c r="B23" i="1"/>
  <c r="C23" i="1" s="1"/>
  <c r="B22" i="1"/>
  <c r="C22" i="1" s="1"/>
</calcChain>
</file>

<file path=xl/sharedStrings.xml><?xml version="1.0" encoding="utf-8"?>
<sst xmlns="http://schemas.openxmlformats.org/spreadsheetml/2006/main" count="185" uniqueCount="81">
  <si>
    <t>Äquivalenzumformungen durchführen.</t>
  </si>
  <si>
    <t>Klammern auflösen.</t>
  </si>
  <si>
    <t>ausmultiplizieren und ausklammern.</t>
  </si>
  <si>
    <t>Koordinatensysteme beschriften und skalieren.</t>
  </si>
  <si>
    <t>ausgehend von einer Funktionsgleichung eine Wertetabelle aufstellen und Funktionsgraphen zeichnen.</t>
  </si>
  <si>
    <t>prüfen, ob ein Punkt auf dem Graphen einer Funktion liegt.</t>
  </si>
  <si>
    <t>anhand des Graphen einer linearen Funktion ihre Steigung und ihren y-Abschnitt angeben.</t>
  </si>
  <si>
    <t>ausgehend von 2 Punkten die Gleichung derjenigen linearen Funktion bestimmen, deren Graph durch diese beiden Punkte verläuft.</t>
  </si>
  <si>
    <t>Schnittstellen zweier Funktionen berechnen.</t>
  </si>
  <si>
    <t>Polynomgleichungen lösen.</t>
  </si>
  <si>
    <t>Graphen zeichnen lassen.</t>
  </si>
  <si>
    <t>Funktionen diskutieren.</t>
  </si>
  <si>
    <t>rechenerisch differenzieren.</t>
  </si>
  <si>
    <t>graphisch differenzieren.</t>
  </si>
  <si>
    <t>anhand eines Funktionsgraphen Nullstellen, den y-Abschnitt, Extrem- und Wendepunkte bestimmen.</t>
  </si>
  <si>
    <t>anhand des Graphen einer Ableitungsfunktion die Extrem- und Wendepunkte der Ausgangsfunktion bestimmen.</t>
  </si>
  <si>
    <t>Hoch-, Tief- und Wendepunkte berechnen.</t>
  </si>
  <si>
    <t>Monotonieintervalle, auch beschrieben durch progressives und degressives Steigen und Fallen, berechnen.</t>
  </si>
  <si>
    <t>Krümmungsintervalle berechnen.</t>
  </si>
  <si>
    <t>rechnerisch aufleiten.</t>
  </si>
  <si>
    <t>graphisch aufleiten.</t>
  </si>
  <si>
    <t>ausgehend von der Preis-Absatz-Funktion die Erlösfunktion berechnen und umgekehrt.</t>
  </si>
  <si>
    <t>die dritte Funktion (Erlös-, Kosten- und Gewinnfunktion) berechnen, wenn zwei der genannten Funktionen gegeben sind.</t>
  </si>
  <si>
    <t>Lösungen unter Beachtung des ökonomisch sinnvollen Definitionsbereichs angeben.</t>
  </si>
  <si>
    <t>anhand der Preis-Absatz- oder Erlösfunktion erkennen, ob ein Angebotsmonopol- oder polypol vorliegt.</t>
  </si>
  <si>
    <t>Graphen der Grenzerlöse, -kosten und -gewinne interpretieren.</t>
  </si>
  <si>
    <t>ausgehend von der Gleichung der Kostenfunktion die Gleichungen der Stückkostenfunktion und der variablen Stückkostenfunktion aufstellen.</t>
  </si>
  <si>
    <t>die Eigenschaften einer ertragsgesetzlichen Kostenfunktion angeben.</t>
  </si>
  <si>
    <t>prüfen, ob eine Funktion eine ertragsgesetzlich ist.</t>
  </si>
  <si>
    <t>(ohne Hilfsmittel) lineare Gleichungen lösen.</t>
  </si>
  <si>
    <t>(ohne Hilfsmittel) quadratische Gleichungen lösen.</t>
  </si>
  <si>
    <t>(ohne Hilfsmittel) lineare Ungleichungen lösen.</t>
  </si>
  <si>
    <t>(ohne Hilfsmittel) quadratische Ungleichungen lösen.</t>
  </si>
  <si>
    <t xml:space="preserve">Analysis - Basics: </t>
  </si>
  <si>
    <t xml:space="preserve">Graphikfähiger Taschenrecher: </t>
  </si>
  <si>
    <t xml:space="preserve">Analysis - Differentialrechnung ganzrationaler Funktionen: </t>
  </si>
  <si>
    <t xml:space="preserve">Analysis - Erlöse, Kosten und Gewinne: </t>
  </si>
  <si>
    <t xml:space="preserve">Analysis - Kostenanalyse: </t>
  </si>
  <si>
    <t xml:space="preserve">Analysis - Produktlebenszyklus: </t>
  </si>
  <si>
    <t xml:space="preserve">Analysis - Marktgleichgewicht: </t>
  </si>
  <si>
    <t xml:space="preserve">Analysis - betriebswirtschaftliche Kennzahlen: </t>
  </si>
  <si>
    <t>die Fixkosten</t>
  </si>
  <si>
    <t>den Übergang vom degressiven zum progressiven Kostenwachstung</t>
  </si>
  <si>
    <t>die erlösmaximale Menge</t>
  </si>
  <si>
    <t>den maximalen Erlös</t>
  </si>
  <si>
    <t>die Sättigungsmenge</t>
  </si>
  <si>
    <t>den Höchstpreis</t>
  </si>
  <si>
    <t>die Gewinnschwelle</t>
  </si>
  <si>
    <t>die Gewinngrenze</t>
  </si>
  <si>
    <t>die Gewinnzone</t>
  </si>
  <si>
    <t>die gewinnmaximale Menge</t>
  </si>
  <si>
    <t>den maximaler Gewinn</t>
  </si>
  <si>
    <t>den gewinnmaximaler Verkaufspreis</t>
  </si>
  <si>
    <t>den Cournotscher Punkt</t>
  </si>
  <si>
    <t>das Betriebsminimum</t>
  </si>
  <si>
    <t>die kurzfristige Preisuntergrenze</t>
  </si>
  <si>
    <t>das Betriebsoptimum</t>
  </si>
  <si>
    <t>die langfristige Preisuntergrenze</t>
  </si>
  <si>
    <t>den Deckungsbeitrag</t>
  </si>
  <si>
    <t>Ich kann…</t>
  </si>
  <si>
    <t>KI-Prompt</t>
  </si>
  <si>
    <t>App</t>
  </si>
  <si>
    <t>Website</t>
  </si>
  <si>
    <t>moodlemobile://https://hbk-moodle.du-bist-uns-wichtig.de/</t>
  </si>
  <si>
    <t>&lt;a href="moodlemobile://https://hbk-moodle.du-bist-uns-wichtig.de/"&gt;App&lt;/a&gt;</t>
  </si>
  <si>
    <t>Übung</t>
  </si>
  <si>
    <t>Analysis</t>
  </si>
  <si>
    <t>Basics</t>
  </si>
  <si>
    <t>Gebiet</t>
  </si>
  <si>
    <t>Situation</t>
  </si>
  <si>
    <t>Ich kann..</t>
  </si>
  <si>
    <t>KI Prompt</t>
  </si>
  <si>
    <t xml:space="preserve">: Erläuterung - Beispiel - Übung: Ich kann </t>
  </si>
  <si>
    <t>Allgemein</t>
  </si>
  <si>
    <t>Graphikfähiger Taschenrechner</t>
  </si>
  <si>
    <t>Betriebswirtschaftliche Kennzahlen</t>
  </si>
  <si>
    <t>Differentialrechnung ganzrationaler Funktionen</t>
  </si>
  <si>
    <t xml:space="preserve"> rechnerisch und graphisch bestimmen sowie die betriebswirtschaftliche Bedeutung angeben.</t>
  </si>
  <si>
    <t>mit dem GTR Nullstellen, Extrempunkte und Wendepunkte bestimmen.</t>
  </si>
  <si>
    <t>mit dem GTR Graphen zeichnen lassen.</t>
  </si>
  <si>
    <t>mit dem GTR Polynomgleichungen lösen.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</si>
</sst>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11"/>
      <color theme="1"/>
      <name val="Calibri"/>
      <family val="2"/>
    </font>
    <font>
      <b/>
      <sz val="11"/>
      <color theme="1"/>
      <name val="Aptos Narrow"/>
      <family val="2"/>
      <scheme val="minor"/>
    </font>
    <font>
      <u/>
      <sz val="11"/>
      <color theme="10"/>
      <name val="Aptos Narrow"/>
      <family val="2"/>
      <scheme val="minor"/>
    </font>
    <font>
      <sz val="18"/>
      <color theme="1"/>
      <name val="Webdings"/>
      <family val="1"/>
      <charset val="2"/>
    </font>
  </fonts>
  <fills count="5">
    <fill>
      <patternFill patternType="none"/>
    </fill>
    <fill>
      <patternFill patternType="gray125"/>
    </fill>
    <fill>
      <patternFill patternType="solid">
        <fgColor theme="2"/>
        <bgColor indexed="64"/>
      </patternFill>
    </fill>
    <fill>
      <patternFill patternType="solid">
        <fgColor theme="0" tint="-0.34998626667073579"/>
        <bgColor indexed="64"/>
      </patternFill>
    </fill>
    <fill>
      <patternFill patternType="solid">
        <fgColor theme="1"/>
        <bgColor indexed="64"/>
      </patternFill>
    </fill>
  </fills>
  <borders count="3">
    <border>
      <left/>
      <right/>
      <top/>
      <bottom/>
      <diagonal/>
    </border>
    <border>
      <left/>
      <right/>
      <top/>
      <bottom style="thin">
        <color rgb="FF000000"/>
      </bottom>
      <diagonal/>
    </border>
    <border>
      <left/>
      <right/>
      <top/>
      <bottom style="double">
        <color indexed="64"/>
      </bottom>
      <diagonal/>
    </border>
  </borders>
  <cellStyleXfs count="3">
    <xf numFmtId="0" fontId="0" fillId="0" borderId="0"/>
    <xf numFmtId="0" fontId="3" fillId="0" borderId="0" applyNumberFormat="0" applyFill="0" applyBorder="0" applyAlignment="0" applyProtection="0"/>
    <xf numFmtId="0" fontId="3" fillId="0" borderId="0" applyNumberFormat="0" applyFill="0" applyBorder="0" applyAlignment="0" applyProtection="0"/>
  </cellStyleXfs>
  <cellXfs count="11">
    <xf numFmtId="0" fontId="0" fillId="0" borderId="0" xfId="0"/>
    <xf numFmtId="0" fontId="1" fillId="0" borderId="0" xfId="0" applyFont="1" applyAlignment="1">
      <alignment vertical="center" wrapText="1"/>
    </xf>
    <xf numFmtId="0" fontId="0" fillId="0" borderId="0" xfId="0" applyAlignment="1">
      <alignment vertical="center" wrapText="1"/>
    </xf>
    <xf numFmtId="0" fontId="0" fillId="2" borderId="1" xfId="0" applyFill="1" applyBorder="1" applyAlignment="1">
      <alignment vertical="center" wrapText="1"/>
    </xf>
    <xf numFmtId="0" fontId="2" fillId="3" borderId="2" xfId="0" applyFont="1" applyFill="1" applyBorder="1" applyAlignment="1">
      <alignment vertical="center" wrapText="1"/>
    </xf>
    <xf numFmtId="0" fontId="3" fillId="0" borderId="0" xfId="1" applyAlignment="1">
      <alignment vertical="center" wrapText="1"/>
    </xf>
    <xf numFmtId="0" fontId="2" fillId="3" borderId="2" xfId="0" applyFont="1" applyFill="1" applyBorder="1" applyAlignment="1">
      <alignment horizontal="center" vertical="center" wrapText="1"/>
    </xf>
    <xf numFmtId="0" fontId="0" fillId="0" borderId="0" xfId="0" applyAlignment="1">
      <alignment vertical="center" wrapText="1"/>
      <extLst>
        <ext xmlns:xfpb="http://schemas.microsoft.com/office/spreadsheetml/2022/featurepropertybag" uri="{C7286773-470A-42A8-94C5-96B5CB345126}">
          <xfpb:xfComplement i="0"/>
        </ext>
      </extLst>
    </xf>
    <xf numFmtId="0" fontId="4" fillId="2" borderId="1" xfId="0" applyFont="1" applyFill="1" applyBorder="1" applyAlignment="1">
      <alignment horizontal="center" vertical="center" wrapText="1"/>
    </xf>
    <xf numFmtId="0" fontId="0" fillId="4" borderId="0" xfId="0" applyFill="1" applyAlignment="1">
      <alignment vertical="center" wrapText="1"/>
    </xf>
    <xf numFmtId="0" fontId="0" fillId="2" borderId="0" xfId="0" applyFill="1"/>
  </cellXfs>
  <cellStyles count="3">
    <cellStyle name="Hyperlink" xfId="2" xr:uid="{00000000-000B-0000-0000-000008000000}"/>
    <cellStyle name="Link" xfId="1" builtinId="8"/>
    <cellStyle name="Standard" xfId="0" builtinId="0"/>
  </cellStyles>
  <dxfs count="8">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1867096</xdr:colOff>
      <xdr:row>2</xdr:row>
      <xdr:rowOff>95448</xdr:rowOff>
    </xdr:from>
    <xdr:to>
      <xdr:col>1</xdr:col>
      <xdr:colOff>2108648</xdr:colOff>
      <xdr:row>2</xdr:row>
      <xdr:rowOff>340750</xdr:rowOff>
    </xdr:to>
    <xdr:sp macro="[0]!AnalysisBasicsNein_Klicken" textlink="">
      <xdr:nvSpPr>
        <xdr:cNvPr id="12" name="Analysis - Basics Nein" descr="Schließen Silhouette">
          <a:extLst>
            <a:ext uri="{FF2B5EF4-FFF2-40B4-BE49-F238E27FC236}">
              <a16:creationId xmlns:a16="http://schemas.microsoft.com/office/drawing/2014/main" id="{D574427B-F9F1-3CB3-B00C-4A9CA794E884}"/>
            </a:ext>
          </a:extLst>
        </xdr:cNvPr>
        <xdr:cNvSpPr/>
      </xdr:nvSpPr>
      <xdr:spPr>
        <a:xfrm>
          <a:off x="2257621" y="514548"/>
          <a:ext cx="241552" cy="245302"/>
        </a:xfrm>
        <a:custGeom>
          <a:avLst/>
          <a:gdLst>
            <a:gd name="connsiteX0" fmla="*/ 5303 w 241552"/>
            <a:gd name="connsiteY0" fmla="*/ 241553 h 245302"/>
            <a:gd name="connsiteX1" fmla="*/ 118901 w 241552"/>
            <a:gd name="connsiteY1" fmla="*/ 127954 h 245302"/>
            <a:gd name="connsiteX2" fmla="*/ 236250 w 241552"/>
            <a:gd name="connsiteY2" fmla="*/ 245303 h 245302"/>
            <a:gd name="connsiteX3" fmla="*/ 241553 w 241552"/>
            <a:gd name="connsiteY3" fmla="*/ 240000 h 245302"/>
            <a:gd name="connsiteX4" fmla="*/ 124204 w 241552"/>
            <a:gd name="connsiteY4" fmla="*/ 122651 h 245302"/>
            <a:gd name="connsiteX5" fmla="*/ 241553 w 241552"/>
            <a:gd name="connsiteY5" fmla="*/ 5303 h 245302"/>
            <a:gd name="connsiteX6" fmla="*/ 236250 w 241552"/>
            <a:gd name="connsiteY6" fmla="*/ 0 h 245302"/>
            <a:gd name="connsiteX7" fmla="*/ 118901 w 241552"/>
            <a:gd name="connsiteY7" fmla="*/ 117349 h 245302"/>
            <a:gd name="connsiteX8" fmla="*/ 5303 w 241552"/>
            <a:gd name="connsiteY8" fmla="*/ 3750 h 245302"/>
            <a:gd name="connsiteX9" fmla="*/ 0 w 241552"/>
            <a:gd name="connsiteY9" fmla="*/ 9053 h 245302"/>
            <a:gd name="connsiteX10" fmla="*/ 113599 w 241552"/>
            <a:gd name="connsiteY10" fmla="*/ 122651 h 245302"/>
            <a:gd name="connsiteX11" fmla="*/ 0 w 241552"/>
            <a:gd name="connsiteY11" fmla="*/ 236250 h 245302"/>
            <a:gd name="connsiteX12" fmla="*/ 5303 w 241552"/>
            <a:gd name="connsiteY12" fmla="*/ 241553 h 2453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241552" h="245302">
              <a:moveTo>
                <a:pt x="5303" y="241553"/>
              </a:moveTo>
              <a:lnTo>
                <a:pt x="118901" y="127954"/>
              </a:lnTo>
              <a:lnTo>
                <a:pt x="236250" y="245303"/>
              </a:lnTo>
              <a:lnTo>
                <a:pt x="241553" y="240000"/>
              </a:lnTo>
              <a:lnTo>
                <a:pt x="124204" y="122651"/>
              </a:lnTo>
              <a:lnTo>
                <a:pt x="241553" y="5303"/>
              </a:lnTo>
              <a:lnTo>
                <a:pt x="236250" y="0"/>
              </a:lnTo>
              <a:lnTo>
                <a:pt x="118901" y="117349"/>
              </a:lnTo>
              <a:lnTo>
                <a:pt x="5303" y="3750"/>
              </a:lnTo>
              <a:lnTo>
                <a:pt x="0" y="9053"/>
              </a:lnTo>
              <a:lnTo>
                <a:pt x="113599" y="122651"/>
              </a:lnTo>
              <a:lnTo>
                <a:pt x="0" y="236250"/>
              </a:lnTo>
              <a:lnTo>
                <a:pt x="5303" y="241553"/>
              </a:lnTo>
              <a:close/>
            </a:path>
          </a:pathLst>
        </a:custGeom>
        <a:solidFill>
          <a:srgbClr val="000000"/>
        </a:solidFill>
        <a:ln w="3671" cap="flat">
          <a:noFill/>
          <a:prstDash val="solid"/>
          <a:miter/>
        </a:ln>
      </xdr:spPr>
      <xdr:txBody>
        <a:bodyPr rtlCol="0" anchor="ctr"/>
        <a:lstStyle/>
        <a:p>
          <a:endParaRPr lang="de-DE"/>
        </a:p>
      </xdr:txBody>
    </xdr:sp>
    <xdr:clientData/>
  </xdr:twoCellAnchor>
  <xdr:twoCellAnchor>
    <xdr:from>
      <xdr:col>1</xdr:col>
      <xdr:colOff>1286673</xdr:colOff>
      <xdr:row>2</xdr:row>
      <xdr:rowOff>100826</xdr:rowOff>
    </xdr:from>
    <xdr:to>
      <xdr:col>1</xdr:col>
      <xdr:colOff>1606877</xdr:colOff>
      <xdr:row>2</xdr:row>
      <xdr:rowOff>301904</xdr:rowOff>
    </xdr:to>
    <xdr:sp macro="[0]!AnalysisBasicsja_Klicken" textlink="">
      <xdr:nvSpPr>
        <xdr:cNvPr id="11" name="Analysis - Basics Ja" descr="Häkchen Silhouette">
          <a:extLst>
            <a:ext uri="{FF2B5EF4-FFF2-40B4-BE49-F238E27FC236}">
              <a16:creationId xmlns:a16="http://schemas.microsoft.com/office/drawing/2014/main" id="{8249F215-835B-4A8D-5435-3697D9C1018E}"/>
            </a:ext>
          </a:extLst>
        </xdr:cNvPr>
        <xdr:cNvSpPr/>
      </xdr:nvSpPr>
      <xdr:spPr>
        <a:xfrm>
          <a:off x="1677198" y="519926"/>
          <a:ext cx="320204" cy="201078"/>
        </a:xfrm>
        <a:custGeom>
          <a:avLst/>
          <a:gdLst>
            <a:gd name="connsiteX0" fmla="*/ 109624 w 320204"/>
            <a:gd name="connsiteY0" fmla="*/ 190669 h 201078"/>
            <a:gd name="connsiteX1" fmla="*/ 5302 w 320204"/>
            <a:gd name="connsiteY1" fmla="*/ 86348 h 201078"/>
            <a:gd name="connsiteX2" fmla="*/ 0 w 320204"/>
            <a:gd name="connsiteY2" fmla="*/ 91650 h 201078"/>
            <a:gd name="connsiteX3" fmla="*/ 109429 w 320204"/>
            <a:gd name="connsiteY3" fmla="*/ 201079 h 201078"/>
            <a:gd name="connsiteX4" fmla="*/ 320205 w 320204"/>
            <a:gd name="connsiteY4" fmla="*/ 5497 h 201078"/>
            <a:gd name="connsiteX5" fmla="*/ 315098 w 320204"/>
            <a:gd name="connsiteY5" fmla="*/ 0 h 201078"/>
            <a:gd name="connsiteX6" fmla="*/ 109624 w 320204"/>
            <a:gd name="connsiteY6" fmla="*/ 190669 h 2010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20204" h="201078">
              <a:moveTo>
                <a:pt x="109624" y="190669"/>
              </a:moveTo>
              <a:lnTo>
                <a:pt x="5302" y="86348"/>
              </a:lnTo>
              <a:lnTo>
                <a:pt x="0" y="91650"/>
              </a:lnTo>
              <a:lnTo>
                <a:pt x="109429" y="201079"/>
              </a:lnTo>
              <a:lnTo>
                <a:pt x="320205" y="5497"/>
              </a:lnTo>
              <a:lnTo>
                <a:pt x="315098" y="0"/>
              </a:lnTo>
              <a:lnTo>
                <a:pt x="109624" y="190669"/>
              </a:lnTo>
              <a:close/>
            </a:path>
          </a:pathLst>
        </a:custGeom>
        <a:solidFill>
          <a:srgbClr val="000000"/>
        </a:solidFill>
        <a:ln w="3671" cap="flat">
          <a:noFill/>
          <a:prstDash val="solid"/>
          <a:miter/>
        </a:ln>
      </xdr:spPr>
      <xdr:txBody>
        <a:bodyPr rtlCol="0" anchor="ctr"/>
        <a:lstStyle/>
        <a:p>
          <a:endParaRPr lang="de-DE"/>
        </a:p>
      </xdr:txBody>
    </xdr:sp>
    <xdr:clientData/>
  </xdr:twoCellAnchor>
  <xdr:twoCellAnchor>
    <xdr:from>
      <xdr:col>0</xdr:col>
      <xdr:colOff>95250</xdr:colOff>
      <xdr:row>0</xdr:row>
      <xdr:rowOff>76200</xdr:rowOff>
    </xdr:from>
    <xdr:to>
      <xdr:col>1</xdr:col>
      <xdr:colOff>857251</xdr:colOff>
      <xdr:row>0</xdr:row>
      <xdr:rowOff>361950</xdr:rowOff>
    </xdr:to>
    <xdr:sp macro="[0]!allesAuswählen" textlink="">
      <xdr:nvSpPr>
        <xdr:cNvPr id="2" name="Rechteck: abgerundete Ecken 1">
          <a:extLst>
            <a:ext uri="{FF2B5EF4-FFF2-40B4-BE49-F238E27FC236}">
              <a16:creationId xmlns:a16="http://schemas.microsoft.com/office/drawing/2014/main" id="{0921DF9D-3A20-C0EA-282F-E63E950C85A6}"/>
            </a:ext>
          </a:extLst>
        </xdr:cNvPr>
        <xdr:cNvSpPr/>
      </xdr:nvSpPr>
      <xdr:spPr>
        <a:xfrm>
          <a:off x="95250" y="76200"/>
          <a:ext cx="1152526" cy="285750"/>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Alles auswählen</a:t>
          </a:r>
        </a:p>
      </xdr:txBody>
    </xdr:sp>
    <xdr:clientData/>
  </xdr:twoCellAnchor>
  <xdr:twoCellAnchor>
    <xdr:from>
      <xdr:col>1</xdr:col>
      <xdr:colOff>971549</xdr:colOff>
      <xdr:row>0</xdr:row>
      <xdr:rowOff>85725</xdr:rowOff>
    </xdr:from>
    <xdr:to>
      <xdr:col>1</xdr:col>
      <xdr:colOff>2238374</xdr:colOff>
      <xdr:row>0</xdr:row>
      <xdr:rowOff>371475</xdr:rowOff>
    </xdr:to>
    <xdr:sp macro="[0]!nichtsAuswählen" textlink="">
      <xdr:nvSpPr>
        <xdr:cNvPr id="3" name="Rechteck: abgerundete Ecken 2">
          <a:extLst>
            <a:ext uri="{FF2B5EF4-FFF2-40B4-BE49-F238E27FC236}">
              <a16:creationId xmlns:a16="http://schemas.microsoft.com/office/drawing/2014/main" id="{B6948853-030B-4CA4-9CCD-4F0141B441C0}"/>
            </a:ext>
          </a:extLst>
        </xdr:cNvPr>
        <xdr:cNvSpPr/>
      </xdr:nvSpPr>
      <xdr:spPr>
        <a:xfrm>
          <a:off x="1362074" y="85725"/>
          <a:ext cx="1266825" cy="285750"/>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Nichts auswählen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685800</xdr:colOff>
      <xdr:row>0</xdr:row>
      <xdr:rowOff>76199</xdr:rowOff>
    </xdr:from>
    <xdr:to>
      <xdr:col>17</xdr:col>
      <xdr:colOff>409578</xdr:colOff>
      <xdr:row>35</xdr:row>
      <xdr:rowOff>142874</xdr:rowOff>
    </xdr:to>
    <mc:AlternateContent xmlns:mc="http://schemas.openxmlformats.org/markup-compatibility/2006" xmlns:sle15="http://schemas.microsoft.com/office/drawing/2012/slicer">
      <mc:Choice Requires="sle15">
        <xdr:graphicFrame macro="">
          <xdr:nvGraphicFramePr>
            <xdr:cNvPr id="2" name="Ich kann..">
              <a:extLst>
                <a:ext uri="{FF2B5EF4-FFF2-40B4-BE49-F238E27FC236}">
                  <a16:creationId xmlns:a16="http://schemas.microsoft.com/office/drawing/2014/main" id="{3DE7740E-7F37-4500-AADE-94DABBAA7AB7}"/>
                </a:ext>
              </a:extLst>
            </xdr:cNvPr>
            <xdr:cNvGraphicFramePr/>
          </xdr:nvGraphicFramePr>
          <xdr:xfrm>
            <a:off x="0" y="0"/>
            <a:ext cx="0" cy="0"/>
          </xdr:xfrm>
          <a:graphic>
            <a:graphicData uri="http://schemas.microsoft.com/office/drawing/2010/slicer">
              <sle:slicer xmlns:sle="http://schemas.microsoft.com/office/drawing/2010/slicer" name="Ich kann.."/>
            </a:graphicData>
          </a:graphic>
        </xdr:graphicFrame>
      </mc:Choice>
      <mc:Fallback xmlns="">
        <xdr:sp macro="" textlink="">
          <xdr:nvSpPr>
            <xdr:cNvPr id="0" name=""/>
            <xdr:cNvSpPr>
              <a:spLocks noTextEdit="1"/>
            </xdr:cNvSpPr>
          </xdr:nvSpPr>
          <xdr:spPr>
            <a:xfrm>
              <a:off x="5257800" y="76199"/>
              <a:ext cx="8105778" cy="6734175"/>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twoCellAnchor>
  <xdr:twoCellAnchor editAs="absolute">
    <xdr:from>
      <xdr:col>0</xdr:col>
      <xdr:colOff>38100</xdr:colOff>
      <xdr:row>0</xdr:row>
      <xdr:rowOff>66675</xdr:rowOff>
    </xdr:from>
    <xdr:to>
      <xdr:col>2</xdr:col>
      <xdr:colOff>342900</xdr:colOff>
      <xdr:row>14</xdr:row>
      <xdr:rowOff>66675</xdr:rowOff>
    </xdr:to>
    <mc:AlternateContent xmlns:mc="http://schemas.openxmlformats.org/markup-compatibility/2006" xmlns:sle15="http://schemas.microsoft.com/office/drawing/2012/slicer">
      <mc:Choice Requires="sle15">
        <xdr:graphicFrame macro="">
          <xdr:nvGraphicFramePr>
            <xdr:cNvPr id="3" name="Gebiet">
              <a:extLst>
                <a:ext uri="{FF2B5EF4-FFF2-40B4-BE49-F238E27FC236}">
                  <a16:creationId xmlns:a16="http://schemas.microsoft.com/office/drawing/2014/main" id="{A9DF63A7-2D11-4BE7-A35B-0F056D993EF0}"/>
                </a:ext>
              </a:extLst>
            </xdr:cNvPr>
            <xdr:cNvGraphicFramePr/>
          </xdr:nvGraphicFramePr>
          <xdr:xfrm>
            <a:off x="0" y="0"/>
            <a:ext cx="0" cy="0"/>
          </xdr:xfrm>
          <a:graphic>
            <a:graphicData uri="http://schemas.microsoft.com/office/drawing/2010/slicer">
              <sle:slicer xmlns:sle="http://schemas.microsoft.com/office/drawing/2010/slicer" name="Gebiet"/>
            </a:graphicData>
          </a:graphic>
        </xdr:graphicFrame>
      </mc:Choice>
      <mc:Fallback xmlns="">
        <xdr:sp macro="" textlink="">
          <xdr:nvSpPr>
            <xdr:cNvPr id="0" name=""/>
            <xdr:cNvSpPr>
              <a:spLocks noTextEdit="1"/>
            </xdr:cNvSpPr>
          </xdr:nvSpPr>
          <xdr:spPr>
            <a:xfrm>
              <a:off x="38100" y="66675"/>
              <a:ext cx="1828800" cy="2667000"/>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twoCellAnchor>
  <xdr:twoCellAnchor editAs="absolute">
    <xdr:from>
      <xdr:col>2</xdr:col>
      <xdr:colOff>428624</xdr:colOff>
      <xdr:row>0</xdr:row>
      <xdr:rowOff>76199</xdr:rowOff>
    </xdr:from>
    <xdr:to>
      <xdr:col>6</xdr:col>
      <xdr:colOff>628649</xdr:colOff>
      <xdr:row>14</xdr:row>
      <xdr:rowOff>66674</xdr:rowOff>
    </xdr:to>
    <mc:AlternateContent xmlns:mc="http://schemas.openxmlformats.org/markup-compatibility/2006" xmlns:sle15="http://schemas.microsoft.com/office/drawing/2012/slicer">
      <mc:Choice Requires="sle15">
        <xdr:graphicFrame macro="">
          <xdr:nvGraphicFramePr>
            <xdr:cNvPr id="4" name="Situation">
              <a:extLst>
                <a:ext uri="{FF2B5EF4-FFF2-40B4-BE49-F238E27FC236}">
                  <a16:creationId xmlns:a16="http://schemas.microsoft.com/office/drawing/2014/main" id="{8346E789-17FA-4FC6-B003-4D170D1A5EC3}"/>
                </a:ext>
              </a:extLst>
            </xdr:cNvPr>
            <xdr:cNvGraphicFramePr/>
          </xdr:nvGraphicFramePr>
          <xdr:xfrm>
            <a:off x="0" y="0"/>
            <a:ext cx="0" cy="0"/>
          </xdr:xfrm>
          <a:graphic>
            <a:graphicData uri="http://schemas.microsoft.com/office/drawing/2010/slicer">
              <sle:slicer xmlns:sle="http://schemas.microsoft.com/office/drawing/2010/slicer" name="Situation"/>
            </a:graphicData>
          </a:graphic>
        </xdr:graphicFrame>
      </mc:Choice>
      <mc:Fallback xmlns="">
        <xdr:sp macro="" textlink="">
          <xdr:nvSpPr>
            <xdr:cNvPr id="0" name=""/>
            <xdr:cNvSpPr>
              <a:spLocks noTextEdit="1"/>
            </xdr:cNvSpPr>
          </xdr:nvSpPr>
          <xdr:spPr>
            <a:xfrm>
              <a:off x="1952624" y="76199"/>
              <a:ext cx="3248025" cy="2657475"/>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Ich_kann.." xr10:uid="{F373398E-4A21-4AC6-9794-C4CA7C3D8AA0}" sourceName="Ich kann..">
  <extLst>
    <x:ext xmlns:x15="http://schemas.microsoft.com/office/spreadsheetml/2010/11/main" uri="{2F2917AC-EB37-4324-AD4E-5DD8C200BD13}">
      <x15:tableSlicerCache tableId="1"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Gebiet" xr10:uid="{CC22F7FD-E49B-4D3A-A33A-4A69D0DC03AF}" sourceName="Gebiet">
  <extLst>
    <x:ext xmlns:x15="http://schemas.microsoft.com/office/spreadsheetml/2010/11/main" uri="{2F2917AC-EB37-4324-AD4E-5DD8C200BD13}">
      <x15:tableSlicerCache tableId="1"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ituation" xr10:uid="{6377E0DB-9348-4EA6-879E-F25424B62A74}" sourceName="Situation">
  <extLst>
    <x:ext xmlns:x15="http://schemas.microsoft.com/office/spreadsheetml/2010/11/main" uri="{2F2917AC-EB37-4324-AD4E-5DD8C200BD13}">
      <x15:tableSlicerCache tableId="1"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ch kann.." xr10:uid="{4A99CA1E-331A-4B0B-82AE-0E09031498D2}" cache="Datenschnitt_Ich_kann.." caption="Ich kann.." rowHeight="257175"/>
  <slicer name="Gebiet" xr10:uid="{2370D078-AE01-4EF2-AD44-AFC613C4E907}" cache="Datenschnitt_Gebiet" caption="Gebiet" rowHeight="257175"/>
  <slicer name="Situation" xr10:uid="{9BC160C4-E6E6-4B97-AD01-8289DDC48867}" cache="Datenschnitt_Situation" caption="Situation"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62E510-0F4F-4279-826C-740E40B98612}" name="Tabelle1" displayName="Tabelle1" ref="A1:E48" totalsRowShown="0" headerRowDxfId="6" dataDxfId="5">
  <autoFilter ref="A1:E48" xr:uid="{5C7C95B1-DD40-445B-88F8-FFE2E8B9DB2D}">
    <filterColumn colId="0">
      <filters>
        <filter val="Analysis"/>
      </filters>
    </filterColumn>
    <filterColumn colId="1">
      <filters blank="1">
        <filter val="Betriebswirtschaftliche Kennzahlen"/>
        <filter val="Differentialrechnung ganzrationaler Funktionen"/>
        <filter val="Graphikfähiger Taschenrechner"/>
      </filters>
    </filterColumn>
  </autoFilter>
  <sortState xmlns:xlrd2="http://schemas.microsoft.com/office/spreadsheetml/2017/richdata2" ref="A2:D44">
    <sortCondition ref="A2:A44"/>
  </sortState>
  <tableColumns count="5">
    <tableColumn id="1" xr3:uid="{D994CAF9-6114-466F-B82F-21B880FA9729}" name="Gebiet" dataDxfId="4"/>
    <tableColumn id="2" xr3:uid="{8EC268D4-6DCE-4344-B662-73A0392A98F7}" name="Situation" dataDxfId="3"/>
    <tableColumn id="3" xr3:uid="{A99274A3-BC95-4264-A809-EB6FDC23E2BC}" name="Ich kann.." dataDxfId="2"/>
    <tableColumn id="4" xr3:uid="{9B1C5A82-29A0-4AF0-8BB3-4140A68660C3}" name="KI Prompt" dataDxfId="1">
      <calculatedColumnFormula>A2&amp;" "&amp;B2&amp;prompt&amp;C2</calculatedColumnFormula>
    </tableColumn>
    <tableColumn id="5" xr3:uid="{D94374BB-2D92-45C0-844F-77C72E6C60D9}" name="Übung" dataDxfId="0"/>
  </tableColumns>
  <tableStyleInfo name="TableStyleMedium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moodlemobile://https:/hbk-moodle.du-bist-uns-wichtig.de/" TargetMode="External"/><Relationship Id="rId2" Type="http://schemas.openxmlformats.org/officeDocument/2006/relationships/hyperlink" Target="moodlemobile://hbk-moodle.du-bist-uns-wichtig.de/mod/quiz/view.php?id=95783" TargetMode="External"/><Relationship Id="rId1" Type="http://schemas.openxmlformats.org/officeDocument/2006/relationships/hyperlink" Target="https://hbk-moodle.du-bist-uns-wichtig.de/"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17187-0F47-4FD7-8478-024F0254A47C}">
  <sheetPr codeName="Tabelle1">
    <pageSetUpPr fitToPage="1"/>
  </sheetPr>
  <dimension ref="A1:D65"/>
  <sheetViews>
    <sheetView zoomScaleNormal="100" workbookViewId="0">
      <pane ySplit="2" topLeftCell="A14" activePane="bottomLeft" state="frozen"/>
      <selection pane="bottomLeft" activeCell="C18" sqref="C18"/>
    </sheetView>
  </sheetViews>
  <sheetFormatPr baseColWidth="10" defaultColWidth="20.73046875" defaultRowHeight="33" customHeight="1" x14ac:dyDescent="0.45"/>
  <cols>
    <col min="1" max="1" width="5.86328125" style="2" customWidth="1"/>
    <col min="2" max="2" width="74" style="2" bestFit="1" customWidth="1"/>
    <col min="3" max="3" width="113.59765625" style="2" bestFit="1" customWidth="1"/>
    <col min="4" max="4" width="56.73046875" style="2" customWidth="1"/>
    <col min="5" max="16384" width="20.73046875" style="2"/>
  </cols>
  <sheetData>
    <row r="1" spans="1:4" s="9" customFormat="1" ht="33" customHeight="1" x14ac:dyDescent="0.45"/>
    <row r="2" spans="1:4" s="4" customFormat="1" ht="33" customHeight="1" thickBot="1" x14ac:dyDescent="0.5">
      <c r="B2" s="6" t="s">
        <v>59</v>
      </c>
      <c r="C2" s="6" t="s">
        <v>60</v>
      </c>
      <c r="D2" s="6" t="s">
        <v>65</v>
      </c>
    </row>
    <row r="3" spans="1:4" s="3" customFormat="1" ht="33" customHeight="1" thickTop="1" x14ac:dyDescent="0.45">
      <c r="A3" s="8"/>
      <c r="B3" s="3" t="s">
        <v>33</v>
      </c>
    </row>
    <row r="4" spans="1:4" ht="33" customHeight="1" x14ac:dyDescent="0.45">
      <c r="A4" s="7" t="b">
        <v>1</v>
      </c>
      <c r="B4" s="2" t="s">
        <v>0</v>
      </c>
      <c r="C4" s="2" t="str">
        <f>B$3&amp;prompt&amp;B4</f>
        <v>Analysis - Basics: : Erläuterung - Beispiel - Übung: Ich kann Äquivalenzumformungen durchführen.</v>
      </c>
    </row>
    <row r="5" spans="1:4" ht="33" customHeight="1" x14ac:dyDescent="0.45">
      <c r="A5" s="7" t="b">
        <v>1</v>
      </c>
      <c r="B5" s="2" t="s">
        <v>1</v>
      </c>
      <c r="C5" s="2" t="str">
        <f t="shared" ref="C5:C16" si="0">B$3&amp;prompt&amp;B5</f>
        <v>Analysis - Basics: : Erläuterung - Beispiel - Übung: Ich kann Klammern auflösen.</v>
      </c>
      <c r="D5" s="5" t="s">
        <v>61</v>
      </c>
    </row>
    <row r="6" spans="1:4" ht="33" customHeight="1" x14ac:dyDescent="0.45">
      <c r="A6" s="7" t="b">
        <v>1</v>
      </c>
      <c r="B6" s="7" t="s">
        <v>2</v>
      </c>
      <c r="C6" s="2" t="str">
        <f t="shared" si="0"/>
        <v>Analysis - Basics: : Erläuterung - Beispiel - Übung: Ich kann ausmultiplizieren und ausklammern.</v>
      </c>
      <c r="D6" s="5" t="s">
        <v>62</v>
      </c>
    </row>
    <row r="7" spans="1:4" ht="42" customHeight="1" x14ac:dyDescent="0.45">
      <c r="A7" s="7" t="b">
        <v>1</v>
      </c>
      <c r="B7" s="2" t="s">
        <v>29</v>
      </c>
      <c r="C7" s="2" t="str">
        <f t="shared" si="0"/>
        <v>Analysis - Basics: : Erläuterung - Beispiel - Übung: Ich kann (ohne Hilfsmittel) lineare Gleichungen lösen.</v>
      </c>
      <c r="D7" t="s">
        <v>64</v>
      </c>
    </row>
    <row r="8" spans="1:4" ht="33" customHeight="1" x14ac:dyDescent="0.45">
      <c r="A8" s="7" t="b">
        <v>1</v>
      </c>
      <c r="B8" s="1" t="s">
        <v>30</v>
      </c>
      <c r="C8" s="2" t="str">
        <f t="shared" si="0"/>
        <v>Analysis - Basics: : Erläuterung - Beispiel - Übung: Ich kann (ohne Hilfsmittel) quadratische Gleichungen lösen.</v>
      </c>
      <c r="D8" s="2" t="s">
        <v>63</v>
      </c>
    </row>
    <row r="9" spans="1:4" ht="33" customHeight="1" x14ac:dyDescent="0.45">
      <c r="A9" s="7" t="b">
        <v>1</v>
      </c>
      <c r="B9" s="2" t="s">
        <v>31</v>
      </c>
      <c r="C9" s="2" t="str">
        <f t="shared" si="0"/>
        <v>Analysis - Basics: : Erläuterung - Beispiel - Übung: Ich kann (ohne Hilfsmittel) lineare Ungleichungen lösen.</v>
      </c>
      <c r="D9" s="5" t="s">
        <v>61</v>
      </c>
    </row>
    <row r="10" spans="1:4" ht="33" customHeight="1" x14ac:dyDescent="0.45">
      <c r="A10" s="7" t="b">
        <v>1</v>
      </c>
      <c r="B10" s="1" t="s">
        <v>32</v>
      </c>
      <c r="C10" s="2" t="str">
        <f t="shared" si="0"/>
        <v>Analysis - Basics: : Erläuterung - Beispiel - Übung: Ich kann (ohne Hilfsmittel) quadratische Ungleichungen lösen.</v>
      </c>
    </row>
    <row r="11" spans="1:4" ht="33" customHeight="1" x14ac:dyDescent="0.45">
      <c r="A11" s="7" t="b">
        <v>1</v>
      </c>
      <c r="B11" s="2" t="s">
        <v>3</v>
      </c>
      <c r="C11" s="2" t="str">
        <f>B$3&amp;prompt&amp;B11</f>
        <v>Analysis - Basics: : Erläuterung - Beispiel - Übung: Ich kann Koordinatensysteme beschriften und skalieren.</v>
      </c>
    </row>
    <row r="12" spans="1:4" ht="33" customHeight="1" x14ac:dyDescent="0.45">
      <c r="A12" s="7" t="b">
        <v>1</v>
      </c>
      <c r="B12" s="2" t="s">
        <v>4</v>
      </c>
      <c r="C12" s="2" t="str">
        <f t="shared" si="0"/>
        <v>Analysis - Basics: : Erläuterung - Beispiel - Übung: Ich kann ausgehend von einer Funktionsgleichung eine Wertetabelle aufstellen und Funktionsgraphen zeichnen.</v>
      </c>
      <c r="D12" s="5" t="str">
        <f>HYPERLINK("moodlemobile://https://hbk-moodle.du-bist-uns-wichtig.de/","App")</f>
        <v>App</v>
      </c>
    </row>
    <row r="13" spans="1:4" ht="33" customHeight="1" x14ac:dyDescent="0.45">
      <c r="A13" s="7" t="b">
        <v>1</v>
      </c>
      <c r="B13" s="2" t="s">
        <v>5</v>
      </c>
      <c r="C13" s="2" t="str">
        <f t="shared" si="0"/>
        <v>Analysis - Basics: : Erläuterung - Beispiel - Übung: Ich kann prüfen, ob ein Punkt auf dem Graphen einer Funktion liegt.</v>
      </c>
    </row>
    <row r="14" spans="1:4" ht="33" customHeight="1" x14ac:dyDescent="0.45">
      <c r="A14" s="7" t="b">
        <v>1</v>
      </c>
      <c r="B14" s="2" t="s">
        <v>6</v>
      </c>
      <c r="C14" s="2" t="str">
        <f t="shared" si="0"/>
        <v>Analysis - Basics: : Erläuterung - Beispiel - Übung: Ich kann anhand des Graphen einer linearen Funktion ihre Steigung und ihren y-Abschnitt angeben.</v>
      </c>
    </row>
    <row r="15" spans="1:4" ht="33" customHeight="1" x14ac:dyDescent="0.45">
      <c r="A15" s="7" t="b">
        <v>1</v>
      </c>
      <c r="B15" s="2" t="s">
        <v>7</v>
      </c>
      <c r="C15" s="2" t="str">
        <f t="shared" si="0"/>
        <v>Analysis - Basics: : Erläuterung - Beispiel - Übung: Ich kann ausgehend von 2 Punkten die Gleichung derjenigen linearen Funktion bestimmen, deren Graph durch diese beiden Punkte verläuft.</v>
      </c>
    </row>
    <row r="16" spans="1:4" ht="33" customHeight="1" x14ac:dyDescent="0.45">
      <c r="A16" s="7" t="b">
        <v>1</v>
      </c>
      <c r="B16" s="2" t="s">
        <v>8</v>
      </c>
      <c r="C16" s="2" t="str">
        <f t="shared" si="0"/>
        <v>Analysis - Basics: : Erläuterung - Beispiel - Übung: Ich kann Schnittstellen zweier Funktionen berechnen.</v>
      </c>
    </row>
    <row r="17" spans="1:3" s="3" customFormat="1" ht="33" customHeight="1" x14ac:dyDescent="0.45">
      <c r="A17" s="8"/>
      <c r="B17" s="3" t="s">
        <v>34</v>
      </c>
    </row>
    <row r="18" spans="1:3" ht="33" customHeight="1" x14ac:dyDescent="0.45">
      <c r="A18" s="7" t="b">
        <v>1</v>
      </c>
      <c r="B18" s="2" t="s">
        <v>9</v>
      </c>
      <c r="C18" s="2" t="str">
        <f>B$17&amp;prompt&amp;B18</f>
        <v>Graphikfähiger Taschenrecher: : Erläuterung - Beispiel - Übung: Ich kann Polynomgleichungen lösen.</v>
      </c>
    </row>
    <row r="19" spans="1:3" ht="33" customHeight="1" x14ac:dyDescent="0.45">
      <c r="A19" s="7" t="b">
        <v>1</v>
      </c>
      <c r="B19" s="2" t="s">
        <v>10</v>
      </c>
      <c r="C19" s="2" t="str">
        <f>B$17&amp;prompt&amp;B19</f>
        <v>Graphikfähiger Taschenrecher: : Erläuterung - Beispiel - Übung: Ich kann Graphen zeichnen lassen.</v>
      </c>
    </row>
    <row r="20" spans="1:3" ht="33" customHeight="1" x14ac:dyDescent="0.45">
      <c r="A20" s="7" t="b">
        <v>1</v>
      </c>
      <c r="B20" s="2" t="s">
        <v>11</v>
      </c>
      <c r="C20" s="2" t="str">
        <f>B$17&amp;prompt&amp;B20</f>
        <v>Graphikfähiger Taschenrecher: : Erläuterung - Beispiel - Übung: Ich kann Funktionen diskutieren.</v>
      </c>
    </row>
    <row r="21" spans="1:3" s="3" customFormat="1" ht="33" customHeight="1" x14ac:dyDescent="0.45">
      <c r="B21" s="3" t="s">
        <v>40</v>
      </c>
    </row>
    <row r="22" spans="1:3" ht="33" customHeight="1" x14ac:dyDescent="0.45">
      <c r="A22" s="7" t="b">
        <v>1</v>
      </c>
      <c r="B22" s="2" t="str">
        <f>Helper!A3&amp;Helper!A$2</f>
        <v>die Fixkosten rechnerisch und graphisch bestimmen sowie die betriebswirtschaftliche Bedeutung angeben.</v>
      </c>
      <c r="C22" s="2" t="str">
        <f t="shared" ref="C22:C39" si="1">B$21&amp;prompt&amp;B22</f>
        <v>Analysis - betriebswirtschaftliche Kennzahlen: : Erläuterung - Beispiel - Übung: Ich kann die Fixkosten rechnerisch und graphisch bestimmen sowie die betriebswirtschaftliche Bedeutung angeben.</v>
      </c>
    </row>
    <row r="23" spans="1:3" ht="33" customHeight="1" x14ac:dyDescent="0.45">
      <c r="A23" s="7" t="b">
        <v>1</v>
      </c>
      <c r="B23" s="2" t="str">
        <f>Helper!A4&amp;Helper!A$2</f>
        <v>den Übergang vom degressiven zum progressiven Kostenwachstung rechnerisch und graphisch bestimmen sowie die betriebswirtschaftliche Bedeutung angeben.</v>
      </c>
      <c r="C23" s="2" t="str">
        <f t="shared" si="1"/>
        <v>Analysis - betriebswirtschaftliche Kennzahlen: : Erläuterung - Beispiel - Übung: Ich kann den Übergang vom degressiven zum progressiven Kostenwachstung rechnerisch und graphisch bestimmen sowie die betriebswirtschaftliche Bedeutung angeben.</v>
      </c>
    </row>
    <row r="24" spans="1:3" ht="33" customHeight="1" x14ac:dyDescent="0.45">
      <c r="A24" s="7" t="b">
        <v>1</v>
      </c>
      <c r="B24" s="2" t="str">
        <f>Helper!A5&amp;Helper!A$2</f>
        <v>die erlösmaximale Menge rechnerisch und graphisch bestimmen sowie die betriebswirtschaftliche Bedeutung angeben.</v>
      </c>
      <c r="C24" s="2" t="str">
        <f t="shared" si="1"/>
        <v>Analysis - betriebswirtschaftliche Kennzahlen: : Erläuterung - Beispiel - Übung: Ich kann die erlösmaximale Menge rechnerisch und graphisch bestimmen sowie die betriebswirtschaftliche Bedeutung angeben.</v>
      </c>
    </row>
    <row r="25" spans="1:3" ht="33" customHeight="1" x14ac:dyDescent="0.45">
      <c r="A25" s="7" t="b">
        <v>1</v>
      </c>
      <c r="B25" s="2" t="str">
        <f>Helper!A6&amp;Helper!A$2</f>
        <v>den maximalen Erlös rechnerisch und graphisch bestimmen sowie die betriebswirtschaftliche Bedeutung angeben.</v>
      </c>
      <c r="C25" s="2" t="str">
        <f t="shared" si="1"/>
        <v>Analysis - betriebswirtschaftliche Kennzahlen: : Erläuterung - Beispiel - Übung: Ich kann den maximalen Erlös rechnerisch und graphisch bestimmen sowie die betriebswirtschaftliche Bedeutung angeben.</v>
      </c>
    </row>
    <row r="26" spans="1:3" ht="33" customHeight="1" x14ac:dyDescent="0.45">
      <c r="A26" s="7" t="b">
        <v>1</v>
      </c>
      <c r="B26" s="2" t="str">
        <f>Helper!A7&amp;Helper!A$2</f>
        <v>die Sättigungsmenge rechnerisch und graphisch bestimmen sowie die betriebswirtschaftliche Bedeutung angeben.</v>
      </c>
      <c r="C26" s="2" t="str">
        <f t="shared" si="1"/>
        <v>Analysis - betriebswirtschaftliche Kennzahlen: : Erläuterung - Beispiel - Übung: Ich kann die Sättigungsmenge rechnerisch und graphisch bestimmen sowie die betriebswirtschaftliche Bedeutung angeben.</v>
      </c>
    </row>
    <row r="27" spans="1:3" ht="33" customHeight="1" x14ac:dyDescent="0.45">
      <c r="A27" s="7" t="b">
        <v>1</v>
      </c>
      <c r="B27" s="2" t="str">
        <f>Helper!A8&amp;Helper!A$2</f>
        <v>den Höchstpreis rechnerisch und graphisch bestimmen sowie die betriebswirtschaftliche Bedeutung angeben.</v>
      </c>
      <c r="C27" s="2" t="str">
        <f t="shared" si="1"/>
        <v>Analysis - betriebswirtschaftliche Kennzahlen: : Erläuterung - Beispiel - Übung: Ich kann den Höchstpreis rechnerisch und graphisch bestimmen sowie die betriebswirtschaftliche Bedeutung angeben.</v>
      </c>
    </row>
    <row r="28" spans="1:3" ht="33" customHeight="1" x14ac:dyDescent="0.45">
      <c r="A28" s="7" t="b">
        <v>1</v>
      </c>
      <c r="B28" s="2" t="str">
        <f>Helper!A9&amp;Helper!A$2</f>
        <v>die Gewinnschwelle rechnerisch und graphisch bestimmen sowie die betriebswirtschaftliche Bedeutung angeben.</v>
      </c>
      <c r="C28" s="2" t="str">
        <f t="shared" si="1"/>
        <v>Analysis - betriebswirtschaftliche Kennzahlen: : Erläuterung - Beispiel - Übung: Ich kann die Gewinnschwelle rechnerisch und graphisch bestimmen sowie die betriebswirtschaftliche Bedeutung angeben.</v>
      </c>
    </row>
    <row r="29" spans="1:3" ht="33" customHeight="1" x14ac:dyDescent="0.45">
      <c r="A29" s="7" t="b">
        <v>1</v>
      </c>
      <c r="B29" s="2" t="str">
        <f>Helper!A10&amp;Helper!A$2</f>
        <v>die Gewinngrenze rechnerisch und graphisch bestimmen sowie die betriebswirtschaftliche Bedeutung angeben.</v>
      </c>
      <c r="C29" s="2" t="str">
        <f t="shared" si="1"/>
        <v>Analysis - betriebswirtschaftliche Kennzahlen: : Erläuterung - Beispiel - Übung: Ich kann die Gewinngrenze rechnerisch und graphisch bestimmen sowie die betriebswirtschaftliche Bedeutung angeben.</v>
      </c>
    </row>
    <row r="30" spans="1:3" ht="33" customHeight="1" x14ac:dyDescent="0.45">
      <c r="A30" s="7" t="b">
        <v>1</v>
      </c>
      <c r="B30" s="2" t="str">
        <f>Helper!A11&amp;Helper!A$2</f>
        <v>die Gewinnzone rechnerisch und graphisch bestimmen sowie die betriebswirtschaftliche Bedeutung angeben.</v>
      </c>
      <c r="C30" s="2" t="str">
        <f t="shared" si="1"/>
        <v>Analysis - betriebswirtschaftliche Kennzahlen: : Erläuterung - Beispiel - Übung: Ich kann die Gewinnzone rechnerisch und graphisch bestimmen sowie die betriebswirtschaftliche Bedeutung angeben.</v>
      </c>
    </row>
    <row r="31" spans="1:3" ht="33" customHeight="1" x14ac:dyDescent="0.45">
      <c r="A31" s="7" t="b">
        <v>1</v>
      </c>
      <c r="B31" s="2" t="str">
        <f>Helper!A12&amp;Helper!A$2</f>
        <v>die gewinnmaximale Menge rechnerisch und graphisch bestimmen sowie die betriebswirtschaftliche Bedeutung angeben.</v>
      </c>
      <c r="C31" s="2" t="str">
        <f t="shared" si="1"/>
        <v>Analysis - betriebswirtschaftliche Kennzahlen: : Erläuterung - Beispiel - Übung: Ich kann die gewinnmaximale Menge rechnerisch und graphisch bestimmen sowie die betriebswirtschaftliche Bedeutung angeben.</v>
      </c>
    </row>
    <row r="32" spans="1:3" ht="33" customHeight="1" x14ac:dyDescent="0.45">
      <c r="A32" s="7" t="b">
        <v>1</v>
      </c>
      <c r="B32" s="2" t="str">
        <f>Helper!A13&amp;Helper!A$2</f>
        <v>den maximaler Gewinn rechnerisch und graphisch bestimmen sowie die betriebswirtschaftliche Bedeutung angeben.</v>
      </c>
      <c r="C32" s="2" t="str">
        <f t="shared" si="1"/>
        <v>Analysis - betriebswirtschaftliche Kennzahlen: : Erläuterung - Beispiel - Übung: Ich kann den maximaler Gewinn rechnerisch und graphisch bestimmen sowie die betriebswirtschaftliche Bedeutung angeben.</v>
      </c>
    </row>
    <row r="33" spans="1:3" ht="33" customHeight="1" x14ac:dyDescent="0.45">
      <c r="A33" s="7" t="b">
        <v>1</v>
      </c>
      <c r="B33" s="2" t="str">
        <f>Helper!A14&amp;Helper!A$2</f>
        <v>den gewinnmaximaler Verkaufspreis rechnerisch und graphisch bestimmen sowie die betriebswirtschaftliche Bedeutung angeben.</v>
      </c>
      <c r="C33" s="2" t="str">
        <f t="shared" si="1"/>
        <v>Analysis - betriebswirtschaftliche Kennzahlen: : Erläuterung - Beispiel - Übung: Ich kann den gewinnmaximaler Verkaufspreis rechnerisch und graphisch bestimmen sowie die betriebswirtschaftliche Bedeutung angeben.</v>
      </c>
    </row>
    <row r="34" spans="1:3" ht="33" customHeight="1" x14ac:dyDescent="0.45">
      <c r="A34" s="7" t="b">
        <v>1</v>
      </c>
      <c r="B34" s="2" t="str">
        <f>Helper!A15&amp;Helper!A$2</f>
        <v>den Cournotscher Punkt rechnerisch und graphisch bestimmen sowie die betriebswirtschaftliche Bedeutung angeben.</v>
      </c>
      <c r="C34" s="2" t="str">
        <f t="shared" si="1"/>
        <v>Analysis - betriebswirtschaftliche Kennzahlen: : Erläuterung - Beispiel - Übung: Ich kann den Cournotscher Punkt rechnerisch und graphisch bestimmen sowie die betriebswirtschaftliche Bedeutung angeben.</v>
      </c>
    </row>
    <row r="35" spans="1:3" ht="33" customHeight="1" x14ac:dyDescent="0.45">
      <c r="A35" s="7" t="b">
        <v>1</v>
      </c>
      <c r="B35" s="2" t="str">
        <f>Helper!A16&amp;Helper!A$2</f>
        <v>das Betriebsminimum rechnerisch und graphisch bestimmen sowie die betriebswirtschaftliche Bedeutung angeben.</v>
      </c>
      <c r="C35" s="2" t="str">
        <f t="shared" si="1"/>
        <v>Analysis - betriebswirtschaftliche Kennzahlen: : Erläuterung - Beispiel - Übung: Ich kann das Betriebsminimum rechnerisch und graphisch bestimmen sowie die betriebswirtschaftliche Bedeutung angeben.</v>
      </c>
    </row>
    <row r="36" spans="1:3" ht="33" customHeight="1" x14ac:dyDescent="0.45">
      <c r="A36" s="7" t="b">
        <v>1</v>
      </c>
      <c r="B36" s="2" t="str">
        <f>Helper!A17&amp;Helper!A$2</f>
        <v>die kurzfristige Preisuntergrenze rechnerisch und graphisch bestimmen sowie die betriebswirtschaftliche Bedeutung angeben.</v>
      </c>
      <c r="C36" s="2" t="str">
        <f t="shared" si="1"/>
        <v>Analysis - betriebswirtschaftliche Kennzahlen: : Erläuterung - Beispiel - Übung: Ich kann die kurzfristige Preisuntergrenze rechnerisch und graphisch bestimmen sowie die betriebswirtschaftliche Bedeutung angeben.</v>
      </c>
    </row>
    <row r="37" spans="1:3" ht="33" customHeight="1" x14ac:dyDescent="0.45">
      <c r="A37" s="7" t="b">
        <v>1</v>
      </c>
      <c r="B37" s="2" t="str">
        <f>Helper!A18&amp;Helper!A$2</f>
        <v>das Betriebsoptimum rechnerisch und graphisch bestimmen sowie die betriebswirtschaftliche Bedeutung angeben.</v>
      </c>
      <c r="C37" s="2" t="str">
        <f t="shared" si="1"/>
        <v>Analysis - betriebswirtschaftliche Kennzahlen: : Erläuterung - Beispiel - Übung: Ich kann das Betriebsoptimum rechnerisch und graphisch bestimmen sowie die betriebswirtschaftliche Bedeutung angeben.</v>
      </c>
    </row>
    <row r="38" spans="1:3" ht="33" customHeight="1" x14ac:dyDescent="0.45">
      <c r="A38" s="7" t="b">
        <v>1</v>
      </c>
      <c r="B38" s="2" t="str">
        <f>Helper!A19&amp;Helper!A$2</f>
        <v>die langfristige Preisuntergrenze rechnerisch und graphisch bestimmen sowie die betriebswirtschaftliche Bedeutung angeben.</v>
      </c>
      <c r="C38" s="2" t="str">
        <f t="shared" si="1"/>
        <v>Analysis - betriebswirtschaftliche Kennzahlen: : Erläuterung - Beispiel - Übung: Ich kann die langfristige Preisuntergrenze rechnerisch und graphisch bestimmen sowie die betriebswirtschaftliche Bedeutung angeben.</v>
      </c>
    </row>
    <row r="39" spans="1:3" ht="33" customHeight="1" x14ac:dyDescent="0.45">
      <c r="A39" s="7" t="b">
        <v>1</v>
      </c>
      <c r="B39" s="2" t="str">
        <f>Helper!A20&amp;Helper!A$2</f>
        <v>den Deckungsbeitrag rechnerisch und graphisch bestimmen sowie die betriebswirtschaftliche Bedeutung angeben.</v>
      </c>
      <c r="C39" s="2" t="str">
        <f t="shared" si="1"/>
        <v>Analysis - betriebswirtschaftliche Kennzahlen: : Erläuterung - Beispiel - Übung: Ich kann den Deckungsbeitrag rechnerisch und graphisch bestimmen sowie die betriebswirtschaftliche Bedeutung angeben.</v>
      </c>
    </row>
    <row r="40" spans="1:3" s="3" customFormat="1" ht="33" customHeight="1" x14ac:dyDescent="0.45">
      <c r="B40" s="3" t="s">
        <v>35</v>
      </c>
    </row>
    <row r="41" spans="1:3" ht="33" customHeight="1" x14ac:dyDescent="0.45">
      <c r="A41" s="7" t="b">
        <v>1</v>
      </c>
      <c r="B41" s="2" t="s">
        <v>12</v>
      </c>
      <c r="C41" s="2" t="str">
        <f t="shared" ref="C41:C49" si="2">B$40&amp;prompt&amp;B41</f>
        <v>Analysis - Differentialrechnung ganzrationaler Funktionen: : Erläuterung - Beispiel - Übung: Ich kann rechenerisch differenzieren.</v>
      </c>
    </row>
    <row r="42" spans="1:3" ht="33" customHeight="1" x14ac:dyDescent="0.45">
      <c r="A42" s="7" t="b">
        <v>1</v>
      </c>
      <c r="B42" s="2" t="s">
        <v>13</v>
      </c>
      <c r="C42" s="2" t="str">
        <f t="shared" si="2"/>
        <v>Analysis - Differentialrechnung ganzrationaler Funktionen: : Erläuterung - Beispiel - Übung: Ich kann graphisch differenzieren.</v>
      </c>
    </row>
    <row r="43" spans="1:3" ht="33" customHeight="1" x14ac:dyDescent="0.45">
      <c r="A43" s="7" t="b">
        <v>1</v>
      </c>
      <c r="B43" s="2" t="s">
        <v>14</v>
      </c>
      <c r="C43" s="2" t="str">
        <f t="shared" si="2"/>
        <v>Analysis - Differentialrechnung ganzrationaler Funktionen: : Erläuterung - Beispiel - Übung: Ich kann anhand eines Funktionsgraphen Nullstellen, den y-Abschnitt, Extrem- und Wendepunkte bestimmen.</v>
      </c>
    </row>
    <row r="44" spans="1:3" ht="33" customHeight="1" x14ac:dyDescent="0.45">
      <c r="A44" s="7" t="b">
        <v>1</v>
      </c>
      <c r="B44" s="2" t="s">
        <v>15</v>
      </c>
      <c r="C44" s="2" t="str">
        <f t="shared" si="2"/>
        <v>Analysis - Differentialrechnung ganzrationaler Funktionen: : Erläuterung - Beispiel - Übung: Ich kann anhand des Graphen einer Ableitungsfunktion die Extrem- und Wendepunkte der Ausgangsfunktion bestimmen.</v>
      </c>
    </row>
    <row r="45" spans="1:3" ht="33" customHeight="1" x14ac:dyDescent="0.45">
      <c r="A45" s="7" t="b">
        <v>1</v>
      </c>
      <c r="B45" s="2" t="s">
        <v>16</v>
      </c>
      <c r="C45" s="2" t="str">
        <f t="shared" si="2"/>
        <v>Analysis - Differentialrechnung ganzrationaler Funktionen: : Erläuterung - Beispiel - Übung: Ich kann Hoch-, Tief- und Wendepunkte berechnen.</v>
      </c>
    </row>
    <row r="46" spans="1:3" ht="33" customHeight="1" x14ac:dyDescent="0.45">
      <c r="A46" s="7" t="b">
        <v>1</v>
      </c>
      <c r="B46" s="2" t="s">
        <v>17</v>
      </c>
      <c r="C46" s="2" t="str">
        <f t="shared" si="2"/>
        <v>Analysis - Differentialrechnung ganzrationaler Funktionen: : Erläuterung - Beispiel - Übung: Ich kann Monotonieintervalle, auch beschrieben durch progressives und degressives Steigen und Fallen, berechnen.</v>
      </c>
    </row>
    <row r="47" spans="1:3" ht="33" customHeight="1" x14ac:dyDescent="0.45">
      <c r="A47" s="7" t="b">
        <v>1</v>
      </c>
      <c r="B47" s="2" t="s">
        <v>18</v>
      </c>
      <c r="C47" s="2" t="str">
        <f t="shared" si="2"/>
        <v>Analysis - Differentialrechnung ganzrationaler Funktionen: : Erläuterung - Beispiel - Übung: Ich kann Krümmungsintervalle berechnen.</v>
      </c>
    </row>
    <row r="48" spans="1:3" ht="33" customHeight="1" x14ac:dyDescent="0.45">
      <c r="A48" s="7" t="b">
        <v>1</v>
      </c>
      <c r="B48" s="2" t="s">
        <v>19</v>
      </c>
      <c r="C48" s="2" t="str">
        <f t="shared" si="2"/>
        <v>Analysis - Differentialrechnung ganzrationaler Funktionen: : Erläuterung - Beispiel - Übung: Ich kann rechnerisch aufleiten.</v>
      </c>
    </row>
    <row r="49" spans="1:3" ht="33" customHeight="1" x14ac:dyDescent="0.45">
      <c r="A49" s="7" t="b">
        <v>1</v>
      </c>
      <c r="B49" s="2" t="s">
        <v>20</v>
      </c>
      <c r="C49" s="2" t="str">
        <f t="shared" si="2"/>
        <v>Analysis - Differentialrechnung ganzrationaler Funktionen: : Erläuterung - Beispiel - Übung: Ich kann graphisch aufleiten.</v>
      </c>
    </row>
    <row r="50" spans="1:3" s="3" customFormat="1" ht="33" customHeight="1" x14ac:dyDescent="0.45">
      <c r="B50" s="3" t="s">
        <v>36</v>
      </c>
    </row>
    <row r="51" spans="1:3" ht="33" customHeight="1" x14ac:dyDescent="0.45">
      <c r="A51" s="7" t="b">
        <v>1</v>
      </c>
      <c r="B51" s="2" t="s">
        <v>21</v>
      </c>
    </row>
    <row r="52" spans="1:3" ht="33" customHeight="1" x14ac:dyDescent="0.45">
      <c r="A52" s="7" t="b">
        <v>1</v>
      </c>
      <c r="B52" s="2" t="s">
        <v>22</v>
      </c>
    </row>
    <row r="53" spans="1:3" ht="33" customHeight="1" x14ac:dyDescent="0.45">
      <c r="A53" s="7" t="b">
        <v>1</v>
      </c>
      <c r="B53" s="2" t="s">
        <v>23</v>
      </c>
    </row>
    <row r="54" spans="1:3" ht="33" customHeight="1" x14ac:dyDescent="0.45">
      <c r="A54" s="7" t="b">
        <v>1</v>
      </c>
      <c r="B54" s="2" t="s">
        <v>24</v>
      </c>
    </row>
    <row r="55" spans="1:3" ht="33" customHeight="1" x14ac:dyDescent="0.45">
      <c r="A55" s="7" t="b">
        <v>1</v>
      </c>
      <c r="B55" s="2" t="s">
        <v>25</v>
      </c>
    </row>
    <row r="56" spans="1:3" s="3" customFormat="1" ht="33" customHeight="1" x14ac:dyDescent="0.45">
      <c r="B56" s="3" t="s">
        <v>37</v>
      </c>
    </row>
    <row r="57" spans="1:3" ht="33" customHeight="1" x14ac:dyDescent="0.45">
      <c r="A57" s="7" t="b">
        <v>1</v>
      </c>
      <c r="B57" s="2" t="s">
        <v>26</v>
      </c>
    </row>
    <row r="58" spans="1:3" ht="33" customHeight="1" x14ac:dyDescent="0.45">
      <c r="A58" s="7" t="b">
        <v>1</v>
      </c>
      <c r="B58" s="2" t="s">
        <v>27</v>
      </c>
    </row>
    <row r="59" spans="1:3" ht="33" customHeight="1" x14ac:dyDescent="0.45">
      <c r="A59" s="7" t="b">
        <v>1</v>
      </c>
      <c r="B59" s="2" t="s">
        <v>28</v>
      </c>
    </row>
    <row r="60" spans="1:3" s="3" customFormat="1" ht="33" customHeight="1" x14ac:dyDescent="0.45">
      <c r="B60" s="3" t="s">
        <v>38</v>
      </c>
    </row>
    <row r="61" spans="1:3" ht="33" customHeight="1" x14ac:dyDescent="0.45">
      <c r="A61" s="7" t="b">
        <v>1</v>
      </c>
    </row>
    <row r="62" spans="1:3" ht="33" customHeight="1" x14ac:dyDescent="0.45">
      <c r="A62" s="7" t="b">
        <v>1</v>
      </c>
    </row>
    <row r="63" spans="1:3" s="3" customFormat="1" ht="33" customHeight="1" x14ac:dyDescent="0.45">
      <c r="B63" s="3" t="s">
        <v>39</v>
      </c>
    </row>
    <row r="64" spans="1:3" ht="33" customHeight="1" x14ac:dyDescent="0.45">
      <c r="A64" s="7" t="b">
        <v>1</v>
      </c>
    </row>
    <row r="65" spans="1:1" ht="33" customHeight="1" x14ac:dyDescent="0.45">
      <c r="A65" s="7" t="b">
        <v>1</v>
      </c>
    </row>
  </sheetData>
  <conditionalFormatting sqref="A4:XFD4">
    <cfRule type="expression" dxfId="7" priority="1">
      <formula>"A3"</formula>
    </cfRule>
  </conditionalFormatting>
  <hyperlinks>
    <hyperlink ref="D6" r:id="rId1" xr:uid="{6DC9759F-23B9-499B-A886-B52AF7FE91A0}"/>
    <hyperlink ref="D5" r:id="rId2" xr:uid="{866114B8-851A-4A2C-9F94-A857DBBFCFE3}"/>
    <hyperlink ref="D9" r:id="rId3" xr:uid="{8D3F1B15-09BD-45DA-8011-BF41E02D682F}"/>
  </hyperlinks>
  <printOptions gridLines="1"/>
  <pageMargins left="0.7" right="0.7" top="0.78740157499999996" bottom="0.78740157499999996" header="0.3" footer="0.3"/>
  <pageSetup paperSize="9" scale="32" fitToHeight="0"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C95B1-DD40-445B-88F8-FFE2E8B9DB2D}">
  <sheetPr codeName="Tabelle3">
    <pageSetUpPr fitToPage="1"/>
  </sheetPr>
  <dimension ref="A1:E48"/>
  <sheetViews>
    <sheetView tabSelected="1" topLeftCell="C1" zoomScaleNormal="100" workbookViewId="0">
      <pane ySplit="1" topLeftCell="A34" activePane="bottomLeft" state="frozen"/>
      <selection pane="bottomLeft" activeCell="E34" sqref="E34"/>
    </sheetView>
  </sheetViews>
  <sheetFormatPr baseColWidth="10" defaultColWidth="95.73046875" defaultRowHeight="32.25" customHeight="1" x14ac:dyDescent="0.45"/>
  <cols>
    <col min="1" max="1" width="9.3984375" style="2" bestFit="1" customWidth="1"/>
    <col min="2" max="2" width="24.3984375" style="2" bestFit="1" customWidth="1"/>
    <col min="3" max="3" width="74" style="2" bestFit="1" customWidth="1"/>
    <col min="4" max="4" width="113.59765625" style="2" bestFit="1" customWidth="1"/>
    <col min="5" max="16384" width="95.73046875" style="2"/>
  </cols>
  <sheetData>
    <row r="1" spans="1:5" ht="32.25" customHeight="1" x14ac:dyDescent="0.45">
      <c r="A1" s="2" t="s">
        <v>68</v>
      </c>
      <c r="B1" s="2" t="s">
        <v>69</v>
      </c>
      <c r="C1" s="2" t="s">
        <v>70</v>
      </c>
      <c r="D1" s="2" t="s">
        <v>71</v>
      </c>
      <c r="E1" s="2" t="s">
        <v>65</v>
      </c>
    </row>
    <row r="2" spans="1:5" ht="32.25" hidden="1" customHeight="1" x14ac:dyDescent="0.45">
      <c r="A2" s="2" t="s">
        <v>73</v>
      </c>
      <c r="B2" s="2" t="s">
        <v>74</v>
      </c>
      <c r="C2" s="2" t="s">
        <v>80</v>
      </c>
      <c r="D2" s="2" t="str">
        <f t="shared" ref="D2:D44" si="0">A2&amp;" "&amp;B2&amp;prompt&amp;C2</f>
        <v>Allgemein Graphikfähiger Taschenrechner: Erläuterung - Beispiel - Übung: Ich kann mit dem GTR Polynomgleichungen lösen.</v>
      </c>
    </row>
    <row r="3" spans="1:5" ht="32.25" hidden="1" customHeight="1" x14ac:dyDescent="0.45">
      <c r="A3" s="2" t="s">
        <v>73</v>
      </c>
      <c r="B3" s="2" t="s">
        <v>74</v>
      </c>
      <c r="C3" s="2" t="s">
        <v>79</v>
      </c>
      <c r="D3" s="2" t="str">
        <f t="shared" si="0"/>
        <v>Allgemein Graphikfähiger Taschenrechner: Erläuterung - Beispiel - Übung: Ich kann mit dem GTR Graphen zeichnen lassen.</v>
      </c>
    </row>
    <row r="4" spans="1:5" ht="32.25" hidden="1" customHeight="1" x14ac:dyDescent="0.45">
      <c r="A4" s="2" t="s">
        <v>73</v>
      </c>
      <c r="B4" s="2" t="s">
        <v>74</v>
      </c>
      <c r="C4" s="2" t="s">
        <v>78</v>
      </c>
      <c r="D4" s="2" t="str">
        <f t="shared" si="0"/>
        <v>Allgemein Graphikfähiger Taschenrechner: Erläuterung - Beispiel - Übung: Ich kann mit dem GTR Nullstellen, Extrempunkte und Wendepunkte bestimmen.</v>
      </c>
    </row>
    <row r="5" spans="1:5" ht="32.25" hidden="1" customHeight="1" x14ac:dyDescent="0.45">
      <c r="A5" s="2" t="s">
        <v>66</v>
      </c>
      <c r="B5" s="2" t="s">
        <v>67</v>
      </c>
      <c r="C5" s="2" t="s">
        <v>0</v>
      </c>
      <c r="D5" s="2" t="str">
        <f t="shared" si="0"/>
        <v>Analysis Basics: Erläuterung - Beispiel - Übung: Ich kann Äquivalenzumformungen durchführen.</v>
      </c>
    </row>
    <row r="6" spans="1:5" ht="32.25" hidden="1" customHeight="1" x14ac:dyDescent="0.45">
      <c r="A6" s="2" t="s">
        <v>66</v>
      </c>
      <c r="B6" s="2" t="s">
        <v>67</v>
      </c>
      <c r="C6" s="2" t="s">
        <v>1</v>
      </c>
      <c r="D6" s="2" t="str">
        <f t="shared" si="0"/>
        <v>Analysis Basics: Erläuterung - Beispiel - Übung: Ich kann Klammern auflösen.</v>
      </c>
    </row>
    <row r="7" spans="1:5" ht="32.25" hidden="1" customHeight="1" x14ac:dyDescent="0.45">
      <c r="A7" s="2" t="s">
        <v>66</v>
      </c>
      <c r="B7" s="2" t="s">
        <v>67</v>
      </c>
      <c r="C7" s="2" t="s">
        <v>2</v>
      </c>
      <c r="D7" s="2" t="str">
        <f t="shared" si="0"/>
        <v>Analysis Basics: Erläuterung - Beispiel - Übung: Ich kann ausmultiplizieren und ausklammern.</v>
      </c>
    </row>
    <row r="8" spans="1:5" ht="32.25" hidden="1" customHeight="1" x14ac:dyDescent="0.45">
      <c r="A8" s="2" t="s">
        <v>66</v>
      </c>
      <c r="B8" s="2" t="s">
        <v>67</v>
      </c>
      <c r="C8" s="2" t="s">
        <v>29</v>
      </c>
      <c r="D8" s="2" t="str">
        <f t="shared" si="0"/>
        <v>Analysis Basics: Erläuterung - Beispiel - Übung: Ich kann (ohne Hilfsmittel) lineare Gleichungen lösen.</v>
      </c>
    </row>
    <row r="9" spans="1:5" ht="32.25" hidden="1" customHeight="1" x14ac:dyDescent="0.45">
      <c r="A9" s="2" t="s">
        <v>66</v>
      </c>
      <c r="B9" s="2" t="s">
        <v>67</v>
      </c>
      <c r="C9" s="2" t="s">
        <v>30</v>
      </c>
      <c r="D9" s="2" t="str">
        <f t="shared" si="0"/>
        <v>Analysis Basics: Erläuterung - Beispiel - Übung: Ich kann (ohne Hilfsmittel) quadratische Gleichungen lösen.</v>
      </c>
    </row>
    <row r="10" spans="1:5" ht="32.25" hidden="1" customHeight="1" x14ac:dyDescent="0.45">
      <c r="A10" s="2" t="s">
        <v>66</v>
      </c>
      <c r="B10" s="2" t="s">
        <v>67</v>
      </c>
      <c r="C10" s="2" t="s">
        <v>31</v>
      </c>
      <c r="D10" s="2" t="str">
        <f t="shared" si="0"/>
        <v>Analysis Basics: Erläuterung - Beispiel - Übung: Ich kann (ohne Hilfsmittel) lineare Ungleichungen lösen.</v>
      </c>
    </row>
    <row r="11" spans="1:5" ht="32.25" hidden="1" customHeight="1" x14ac:dyDescent="0.45">
      <c r="A11" s="2" t="s">
        <v>66</v>
      </c>
      <c r="B11" s="2" t="s">
        <v>67</v>
      </c>
      <c r="C11" s="2" t="s">
        <v>32</v>
      </c>
      <c r="D11" s="2" t="str">
        <f t="shared" si="0"/>
        <v>Analysis Basics: Erläuterung - Beispiel - Übung: Ich kann (ohne Hilfsmittel) quadratische Ungleichungen lösen.</v>
      </c>
    </row>
    <row r="12" spans="1:5" ht="32.25" hidden="1" customHeight="1" x14ac:dyDescent="0.45">
      <c r="A12" s="2" t="s">
        <v>66</v>
      </c>
      <c r="B12" s="2" t="s">
        <v>67</v>
      </c>
      <c r="C12" s="2" t="s">
        <v>3</v>
      </c>
      <c r="D12" s="2" t="str">
        <f t="shared" si="0"/>
        <v>Analysis Basics: Erläuterung - Beispiel - Übung: Ich kann Koordinatensysteme beschriften und skalieren.</v>
      </c>
    </row>
    <row r="13" spans="1:5" ht="32.25" hidden="1" customHeight="1" x14ac:dyDescent="0.45">
      <c r="A13" s="2" t="s">
        <v>66</v>
      </c>
      <c r="B13" s="2" t="s">
        <v>67</v>
      </c>
      <c r="C13" s="2" t="s">
        <v>4</v>
      </c>
      <c r="D13" s="2" t="str">
        <f t="shared" si="0"/>
        <v>Analysis Basics: Erläuterung - Beispiel - Übung: Ich kann ausgehend von einer Funktionsgleichung eine Wertetabelle aufstellen und Funktionsgraphen zeichnen.</v>
      </c>
    </row>
    <row r="14" spans="1:5" ht="32.25" hidden="1" customHeight="1" x14ac:dyDescent="0.45">
      <c r="A14" s="2" t="s">
        <v>66</v>
      </c>
      <c r="B14" s="2" t="s">
        <v>67</v>
      </c>
      <c r="C14" s="2" t="s">
        <v>5</v>
      </c>
      <c r="D14" s="2" t="str">
        <f t="shared" si="0"/>
        <v>Analysis Basics: Erläuterung - Beispiel - Übung: Ich kann prüfen, ob ein Punkt auf dem Graphen einer Funktion liegt.</v>
      </c>
    </row>
    <row r="15" spans="1:5" ht="32.25" hidden="1" customHeight="1" x14ac:dyDescent="0.45">
      <c r="A15" s="2" t="s">
        <v>66</v>
      </c>
      <c r="B15" s="2" t="s">
        <v>67</v>
      </c>
      <c r="C15" s="2" t="s">
        <v>6</v>
      </c>
      <c r="D15" s="2" t="str">
        <f t="shared" si="0"/>
        <v>Analysis Basics: Erläuterung - Beispiel - Übung: Ich kann anhand des Graphen einer linearen Funktion ihre Steigung und ihren y-Abschnitt angeben.</v>
      </c>
    </row>
    <row r="16" spans="1:5" ht="32.25" hidden="1" customHeight="1" x14ac:dyDescent="0.45">
      <c r="A16" s="2" t="s">
        <v>66</v>
      </c>
      <c r="B16" s="2" t="s">
        <v>67</v>
      </c>
      <c r="C16" s="2" t="s">
        <v>7</v>
      </c>
      <c r="D16" s="2" t="str">
        <f t="shared" si="0"/>
        <v>Analysis Basics: Erläuterung - Beispiel - Übung: Ich kann ausgehend von 2 Punkten die Gleichung derjenigen linearen Funktion bestimmen, deren Graph durch diese beiden Punkte verläuft.</v>
      </c>
    </row>
    <row r="17" spans="1:4" ht="32.25" hidden="1" customHeight="1" x14ac:dyDescent="0.45">
      <c r="A17" s="2" t="s">
        <v>66</v>
      </c>
      <c r="B17" s="2" t="s">
        <v>67</v>
      </c>
      <c r="C17" s="2" t="s">
        <v>8</v>
      </c>
      <c r="D17" s="2" t="str">
        <f t="shared" si="0"/>
        <v>Analysis Basics: Erläuterung - Beispiel - Übung: Ich kann Schnittstellen zweier Funktionen berechnen.</v>
      </c>
    </row>
    <row r="18" spans="1:4" ht="32.25" customHeight="1" x14ac:dyDescent="0.45">
      <c r="A18" s="2" t="s">
        <v>66</v>
      </c>
      <c r="B18" s="2" t="s">
        <v>76</v>
      </c>
      <c r="C18" s="2" t="s">
        <v>12</v>
      </c>
      <c r="D18" s="2" t="str">
        <f t="shared" si="0"/>
        <v>Analysis Differentialrechnung ganzrationaler Funktionen: Erläuterung - Beispiel - Übung: Ich kann rechenerisch differenzieren.</v>
      </c>
    </row>
    <row r="19" spans="1:4" ht="32.25" customHeight="1" x14ac:dyDescent="0.45">
      <c r="A19" s="2" t="s">
        <v>66</v>
      </c>
      <c r="B19" s="2" t="s">
        <v>76</v>
      </c>
      <c r="C19" s="2" t="s">
        <v>13</v>
      </c>
      <c r="D19" s="2" t="str">
        <f t="shared" si="0"/>
        <v>Analysis Differentialrechnung ganzrationaler Funktionen: Erläuterung - Beispiel - Übung: Ich kann graphisch differenzieren.</v>
      </c>
    </row>
    <row r="20" spans="1:4" ht="32.25" customHeight="1" x14ac:dyDescent="0.45">
      <c r="A20" s="2" t="s">
        <v>66</v>
      </c>
      <c r="B20" s="2" t="s">
        <v>76</v>
      </c>
      <c r="C20" s="2" t="s">
        <v>14</v>
      </c>
      <c r="D20" s="2" t="str">
        <f t="shared" si="0"/>
        <v>Analysis Differentialrechnung ganzrationaler Funktionen: Erläuterung - Beispiel - Übung: Ich kann anhand eines Funktionsgraphen Nullstellen, den y-Abschnitt, Extrem- und Wendepunkte bestimmen.</v>
      </c>
    </row>
    <row r="21" spans="1:4" ht="32.25" customHeight="1" x14ac:dyDescent="0.45">
      <c r="A21" s="2" t="s">
        <v>66</v>
      </c>
      <c r="B21" s="2" t="s">
        <v>76</v>
      </c>
      <c r="C21" s="2" t="s">
        <v>15</v>
      </c>
      <c r="D21" s="2" t="str">
        <f t="shared" si="0"/>
        <v>Analysis Differentialrechnung ganzrationaler Funktionen: Erläuterung - Beispiel - Übung: Ich kann anhand des Graphen einer Ableitungsfunktion die Extrem- und Wendepunkte der Ausgangsfunktion bestimmen.</v>
      </c>
    </row>
    <row r="22" spans="1:4" ht="32.25" customHeight="1" x14ac:dyDescent="0.45">
      <c r="A22" s="2" t="s">
        <v>66</v>
      </c>
      <c r="B22" s="2" t="s">
        <v>76</v>
      </c>
      <c r="C22" s="2" t="s">
        <v>16</v>
      </c>
      <c r="D22" s="2" t="str">
        <f t="shared" si="0"/>
        <v>Analysis Differentialrechnung ganzrationaler Funktionen: Erläuterung - Beispiel - Übung: Ich kann Hoch-, Tief- und Wendepunkte berechnen.</v>
      </c>
    </row>
    <row r="23" spans="1:4" ht="32.25" customHeight="1" x14ac:dyDescent="0.45">
      <c r="A23" s="2" t="s">
        <v>66</v>
      </c>
      <c r="B23" s="2" t="s">
        <v>76</v>
      </c>
      <c r="C23" s="2" t="s">
        <v>17</v>
      </c>
      <c r="D23" s="2" t="str">
        <f t="shared" si="0"/>
        <v>Analysis Differentialrechnung ganzrationaler Funktionen: Erläuterung - Beispiel - Übung: Ich kann Monotonieintervalle, auch beschrieben durch progressives und degressives Steigen und Fallen, berechnen.</v>
      </c>
    </row>
    <row r="24" spans="1:4" ht="32.25" customHeight="1" x14ac:dyDescent="0.45">
      <c r="A24" s="2" t="s">
        <v>66</v>
      </c>
      <c r="B24" s="2" t="s">
        <v>76</v>
      </c>
      <c r="C24" s="2" t="s">
        <v>18</v>
      </c>
      <c r="D24" s="2" t="str">
        <f t="shared" si="0"/>
        <v>Analysis Differentialrechnung ganzrationaler Funktionen: Erläuterung - Beispiel - Übung: Ich kann Krümmungsintervalle berechnen.</v>
      </c>
    </row>
    <row r="25" spans="1:4" ht="32.25" customHeight="1" x14ac:dyDescent="0.45">
      <c r="A25" s="2" t="s">
        <v>66</v>
      </c>
      <c r="B25" s="2" t="s">
        <v>76</v>
      </c>
      <c r="C25" s="2" t="s">
        <v>19</v>
      </c>
      <c r="D25" s="2" t="str">
        <f t="shared" si="0"/>
        <v>Analysis Differentialrechnung ganzrationaler Funktionen: Erläuterung - Beispiel - Übung: Ich kann rechnerisch aufleiten.</v>
      </c>
    </row>
    <row r="26" spans="1:4" ht="32.25" customHeight="1" x14ac:dyDescent="0.45">
      <c r="A26" s="2" t="s">
        <v>66</v>
      </c>
      <c r="B26" s="2" t="s">
        <v>76</v>
      </c>
      <c r="C26" s="2" t="s">
        <v>20</v>
      </c>
      <c r="D26" s="2" t="str">
        <f t="shared" si="0"/>
        <v>Analysis Differentialrechnung ganzrationaler Funktionen: Erläuterung - Beispiel - Übung: Ich kann graphisch aufleiten.</v>
      </c>
    </row>
    <row r="27" spans="1:4" ht="32.25" customHeight="1" x14ac:dyDescent="0.45">
      <c r="A27" s="2" t="s">
        <v>66</v>
      </c>
      <c r="B27" s="2" t="s">
        <v>75</v>
      </c>
      <c r="C27" s="2" t="str">
        <f>Helper!A3&amp;Helper!A$2</f>
        <v>die Fixkosten rechnerisch und graphisch bestimmen sowie die betriebswirtschaftliche Bedeutung angeben.</v>
      </c>
      <c r="D27" s="2" t="str">
        <f t="shared" si="0"/>
        <v>Analysis Betriebswirtschaftliche Kennzahlen: Erläuterung - Beispiel - Übung: Ich kann die Fixkosten rechnerisch und graphisch bestimmen sowie die betriebswirtschaftliche Bedeutung angeben.</v>
      </c>
    </row>
    <row r="28" spans="1:4" ht="32.25" customHeight="1" x14ac:dyDescent="0.45">
      <c r="A28" s="2" t="s">
        <v>66</v>
      </c>
      <c r="B28" s="2" t="s">
        <v>75</v>
      </c>
      <c r="C28" s="2" t="str">
        <f>Helper!A4&amp;Helper!A$2</f>
        <v>den Übergang vom degressiven zum progressiven Kostenwachstung rechnerisch und graphisch bestimmen sowie die betriebswirtschaftliche Bedeutung angeben.</v>
      </c>
      <c r="D28" s="2" t="str">
        <f t="shared" si="0"/>
        <v>Analysis Betriebswirtschaftliche Kennzahlen: Erläuterung - Beispiel - Übung: Ich kann den Übergang vom degressiven zum progressiven Kostenwachstung rechnerisch und graphisch bestimmen sowie die betriebswirtschaftliche Bedeutung angeben.</v>
      </c>
    </row>
    <row r="29" spans="1:4" ht="32.25" customHeight="1" x14ac:dyDescent="0.45">
      <c r="A29" s="2" t="s">
        <v>66</v>
      </c>
      <c r="B29" s="2" t="s">
        <v>75</v>
      </c>
      <c r="C29" s="2" t="str">
        <f>Helper!A5&amp;Helper!A$2</f>
        <v>die erlösmaximale Menge rechnerisch und graphisch bestimmen sowie die betriebswirtschaftliche Bedeutung angeben.</v>
      </c>
      <c r="D29" s="2" t="str">
        <f t="shared" si="0"/>
        <v>Analysis Betriebswirtschaftliche Kennzahlen: Erläuterung - Beispiel - Übung: Ich kann die erlösmaximale Menge rechnerisch und graphisch bestimmen sowie die betriebswirtschaftliche Bedeutung angeben.</v>
      </c>
    </row>
    <row r="30" spans="1:4" ht="32.25" customHeight="1" x14ac:dyDescent="0.45">
      <c r="A30" s="2" t="s">
        <v>66</v>
      </c>
      <c r="B30" s="2" t="s">
        <v>75</v>
      </c>
      <c r="C30" s="2" t="str">
        <f>Helper!A6&amp;Helper!A$2</f>
        <v>den maximalen Erlös rechnerisch und graphisch bestimmen sowie die betriebswirtschaftliche Bedeutung angeben.</v>
      </c>
      <c r="D30" s="2" t="str">
        <f t="shared" si="0"/>
        <v>Analysis Betriebswirtschaftliche Kennzahlen: Erläuterung - Beispiel - Übung: Ich kann den maximalen Erlös rechnerisch und graphisch bestimmen sowie die betriebswirtschaftliche Bedeutung angeben.</v>
      </c>
    </row>
    <row r="31" spans="1:4" ht="32.25" customHeight="1" x14ac:dyDescent="0.45">
      <c r="A31" s="2" t="s">
        <v>66</v>
      </c>
      <c r="B31" s="2" t="s">
        <v>75</v>
      </c>
      <c r="C31" s="2" t="str">
        <f>Helper!A7&amp;Helper!A$2</f>
        <v>die Sättigungsmenge rechnerisch und graphisch bestimmen sowie die betriebswirtschaftliche Bedeutung angeben.</v>
      </c>
      <c r="D31" s="2" t="str">
        <f t="shared" si="0"/>
        <v>Analysis Betriebswirtschaftliche Kennzahlen: Erläuterung - Beispiel - Übung: Ich kann die Sättigungsmenge rechnerisch und graphisch bestimmen sowie die betriebswirtschaftliche Bedeutung angeben.</v>
      </c>
    </row>
    <row r="32" spans="1:4" ht="32.25" customHeight="1" x14ac:dyDescent="0.45">
      <c r="A32" s="2" t="s">
        <v>66</v>
      </c>
      <c r="B32" s="2" t="s">
        <v>75</v>
      </c>
      <c r="C32" s="2" t="str">
        <f>Helper!A8&amp;Helper!A$2</f>
        <v>den Höchstpreis rechnerisch und graphisch bestimmen sowie die betriebswirtschaftliche Bedeutung angeben.</v>
      </c>
      <c r="D32" s="2" t="str">
        <f t="shared" si="0"/>
        <v>Analysis Betriebswirtschaftliche Kennzahlen: Erläuterung - Beispiel - Übung: Ich kann den Höchstpreis rechnerisch und graphisch bestimmen sowie die betriebswirtschaftliche Bedeutung angeben.</v>
      </c>
    </row>
    <row r="33" spans="1:4" ht="32.25" customHeight="1" x14ac:dyDescent="0.45">
      <c r="A33" s="2" t="s">
        <v>66</v>
      </c>
      <c r="B33" s="2" t="s">
        <v>75</v>
      </c>
      <c r="C33" s="2" t="str">
        <f>Helper!A9&amp;Helper!A$2</f>
        <v>die Gewinnschwelle rechnerisch und graphisch bestimmen sowie die betriebswirtschaftliche Bedeutung angeben.</v>
      </c>
      <c r="D33" s="2" t="str">
        <f t="shared" si="0"/>
        <v>Analysis Betriebswirtschaftliche Kennzahlen: Erläuterung - Beispiel - Übung: Ich kann die Gewinnschwelle rechnerisch und graphisch bestimmen sowie die betriebswirtschaftliche Bedeutung angeben.</v>
      </c>
    </row>
    <row r="34" spans="1:4" ht="32.25" customHeight="1" x14ac:dyDescent="0.45">
      <c r="A34" s="2" t="s">
        <v>66</v>
      </c>
      <c r="B34" s="2" t="s">
        <v>75</v>
      </c>
      <c r="C34" s="2" t="str">
        <f>Helper!A10&amp;Helper!A$2</f>
        <v>die Gewinngrenze rechnerisch und graphisch bestimmen sowie die betriebswirtschaftliche Bedeutung angeben.</v>
      </c>
      <c r="D34" s="2" t="str">
        <f t="shared" si="0"/>
        <v>Analysis Betriebswirtschaftliche Kennzahlen: Erläuterung - Beispiel - Übung: Ich kann die Gewinngrenze rechnerisch und graphisch bestimmen sowie die betriebswirtschaftliche Bedeutung angeben.</v>
      </c>
    </row>
    <row r="35" spans="1:4" ht="32.25" customHeight="1" x14ac:dyDescent="0.45">
      <c r="A35" s="2" t="s">
        <v>66</v>
      </c>
      <c r="B35" s="2" t="s">
        <v>75</v>
      </c>
      <c r="C35" s="2" t="str">
        <f>Helper!A11&amp;Helper!A$2</f>
        <v>die Gewinnzone rechnerisch und graphisch bestimmen sowie die betriebswirtschaftliche Bedeutung angeben.</v>
      </c>
      <c r="D35" s="2" t="str">
        <f t="shared" si="0"/>
        <v>Analysis Betriebswirtschaftliche Kennzahlen: Erläuterung - Beispiel - Übung: Ich kann die Gewinnzone rechnerisch und graphisch bestimmen sowie die betriebswirtschaftliche Bedeutung angeben.</v>
      </c>
    </row>
    <row r="36" spans="1:4" ht="32.25" customHeight="1" x14ac:dyDescent="0.45">
      <c r="A36" s="2" t="s">
        <v>66</v>
      </c>
      <c r="B36" s="2" t="s">
        <v>75</v>
      </c>
      <c r="C36" s="2" t="str">
        <f>Helper!A12&amp;Helper!A$2</f>
        <v>die gewinnmaximale Menge rechnerisch und graphisch bestimmen sowie die betriebswirtschaftliche Bedeutung angeben.</v>
      </c>
      <c r="D36" s="2" t="str">
        <f t="shared" si="0"/>
        <v>Analysis Betriebswirtschaftliche Kennzahlen: Erläuterung - Beispiel - Übung: Ich kann die gewinnmaximale Menge rechnerisch und graphisch bestimmen sowie die betriebswirtschaftliche Bedeutung angeben.</v>
      </c>
    </row>
    <row r="37" spans="1:4" ht="32.25" customHeight="1" x14ac:dyDescent="0.45">
      <c r="A37" s="2" t="s">
        <v>66</v>
      </c>
      <c r="B37" s="2" t="s">
        <v>75</v>
      </c>
      <c r="C37" s="2" t="str">
        <f>Helper!A13&amp;Helper!A$2</f>
        <v>den maximaler Gewinn rechnerisch und graphisch bestimmen sowie die betriebswirtschaftliche Bedeutung angeben.</v>
      </c>
      <c r="D37" s="2" t="str">
        <f t="shared" si="0"/>
        <v>Analysis Betriebswirtschaftliche Kennzahlen: Erläuterung - Beispiel - Übung: Ich kann den maximaler Gewinn rechnerisch und graphisch bestimmen sowie die betriebswirtschaftliche Bedeutung angeben.</v>
      </c>
    </row>
    <row r="38" spans="1:4" ht="32.25" customHeight="1" x14ac:dyDescent="0.45">
      <c r="A38" s="2" t="s">
        <v>66</v>
      </c>
      <c r="B38" s="2" t="s">
        <v>75</v>
      </c>
      <c r="C38" s="2" t="str">
        <f>Helper!A14&amp;Helper!A$2</f>
        <v>den gewinnmaximaler Verkaufspreis rechnerisch und graphisch bestimmen sowie die betriebswirtschaftliche Bedeutung angeben.</v>
      </c>
      <c r="D38" s="2" t="str">
        <f t="shared" si="0"/>
        <v>Analysis Betriebswirtschaftliche Kennzahlen: Erläuterung - Beispiel - Übung: Ich kann den gewinnmaximaler Verkaufspreis rechnerisch und graphisch bestimmen sowie die betriebswirtschaftliche Bedeutung angeben.</v>
      </c>
    </row>
    <row r="39" spans="1:4" ht="32.25" customHeight="1" x14ac:dyDescent="0.45">
      <c r="A39" s="2" t="s">
        <v>66</v>
      </c>
      <c r="B39" s="2" t="s">
        <v>75</v>
      </c>
      <c r="C39" s="2" t="str">
        <f>Helper!A15&amp;Helper!A$2</f>
        <v>den Cournotscher Punkt rechnerisch und graphisch bestimmen sowie die betriebswirtschaftliche Bedeutung angeben.</v>
      </c>
      <c r="D39" s="2" t="str">
        <f t="shared" si="0"/>
        <v>Analysis Betriebswirtschaftliche Kennzahlen: Erläuterung - Beispiel - Übung: Ich kann den Cournotscher Punkt rechnerisch und graphisch bestimmen sowie die betriebswirtschaftliche Bedeutung angeben.</v>
      </c>
    </row>
    <row r="40" spans="1:4" ht="32.25" customHeight="1" x14ac:dyDescent="0.45">
      <c r="A40" s="2" t="s">
        <v>66</v>
      </c>
      <c r="B40" s="2" t="s">
        <v>75</v>
      </c>
      <c r="C40" s="2" t="str">
        <f>Helper!A16&amp;Helper!A$2</f>
        <v>das Betriebsminimum rechnerisch und graphisch bestimmen sowie die betriebswirtschaftliche Bedeutung angeben.</v>
      </c>
      <c r="D40" s="2" t="str">
        <f t="shared" si="0"/>
        <v>Analysis Betriebswirtschaftliche Kennzahlen: Erläuterung - Beispiel - Übung: Ich kann das Betriebsminimum rechnerisch und graphisch bestimmen sowie die betriebswirtschaftliche Bedeutung angeben.</v>
      </c>
    </row>
    <row r="41" spans="1:4" ht="32.25" customHeight="1" x14ac:dyDescent="0.45">
      <c r="A41" s="2" t="s">
        <v>66</v>
      </c>
      <c r="B41" s="2" t="s">
        <v>75</v>
      </c>
      <c r="C41" s="2" t="str">
        <f>Helper!A17&amp;Helper!A$2</f>
        <v>die kurzfristige Preisuntergrenze rechnerisch und graphisch bestimmen sowie die betriebswirtschaftliche Bedeutung angeben.</v>
      </c>
      <c r="D41" s="2" t="str">
        <f t="shared" si="0"/>
        <v>Analysis Betriebswirtschaftliche Kennzahlen: Erläuterung - Beispiel - Übung: Ich kann die kurzfristige Preisuntergrenze rechnerisch und graphisch bestimmen sowie die betriebswirtschaftliche Bedeutung angeben.</v>
      </c>
    </row>
    <row r="42" spans="1:4" ht="32.25" customHeight="1" x14ac:dyDescent="0.45">
      <c r="A42" s="2" t="s">
        <v>66</v>
      </c>
      <c r="B42" s="2" t="s">
        <v>75</v>
      </c>
      <c r="C42" s="2" t="str">
        <f>Helper!A18&amp;Helper!A$2</f>
        <v>das Betriebsoptimum rechnerisch und graphisch bestimmen sowie die betriebswirtschaftliche Bedeutung angeben.</v>
      </c>
      <c r="D42" s="2" t="str">
        <f t="shared" si="0"/>
        <v>Analysis Betriebswirtschaftliche Kennzahlen: Erläuterung - Beispiel - Übung: Ich kann das Betriebsoptimum rechnerisch und graphisch bestimmen sowie die betriebswirtschaftliche Bedeutung angeben.</v>
      </c>
    </row>
    <row r="43" spans="1:4" ht="32.25" customHeight="1" x14ac:dyDescent="0.45">
      <c r="A43" s="2" t="s">
        <v>66</v>
      </c>
      <c r="B43" s="2" t="s">
        <v>75</v>
      </c>
      <c r="C43" s="2" t="str">
        <f>Helper!A19&amp;Helper!A$2</f>
        <v>die langfristige Preisuntergrenze rechnerisch und graphisch bestimmen sowie die betriebswirtschaftliche Bedeutung angeben.</v>
      </c>
      <c r="D43" s="2" t="str">
        <f t="shared" si="0"/>
        <v>Analysis Betriebswirtschaftliche Kennzahlen: Erläuterung - Beispiel - Übung: Ich kann die langfristige Preisuntergrenze rechnerisch und graphisch bestimmen sowie die betriebswirtschaftliche Bedeutung angeben.</v>
      </c>
    </row>
    <row r="44" spans="1:4" ht="32.25" customHeight="1" x14ac:dyDescent="0.45">
      <c r="A44" s="2" t="s">
        <v>66</v>
      </c>
      <c r="B44" s="2" t="s">
        <v>75</v>
      </c>
      <c r="C44" s="2" t="str">
        <f>Helper!A20&amp;Helper!A$2</f>
        <v>den Deckungsbeitrag rechnerisch und graphisch bestimmen sowie die betriebswirtschaftliche Bedeutung angeben.</v>
      </c>
      <c r="D44" s="2" t="str">
        <f t="shared" si="0"/>
        <v>Analysis Betriebswirtschaftliche Kennzahlen: Erläuterung - Beispiel - Übung: Ich kann den Deckungsbeitrag rechnerisch und graphisch bestimmen sowie die betriebswirtschaftliche Bedeutung angeben.</v>
      </c>
    </row>
    <row r="45" spans="1:4" ht="32.25" hidden="1" customHeight="1" x14ac:dyDescent="0.45"/>
    <row r="46" spans="1:4" ht="32.25" hidden="1" customHeight="1" x14ac:dyDescent="0.45"/>
    <row r="47" spans="1:4" ht="32.25" hidden="1" customHeight="1" x14ac:dyDescent="0.45"/>
    <row r="48" spans="1:4" ht="32.25" hidden="1" customHeight="1" x14ac:dyDescent="0.45"/>
  </sheetData>
  <pageMargins left="0.7" right="0.7" top="0.78740157499999996" bottom="0.78740157499999996" header="0.3" footer="0.3"/>
  <pageSetup paperSize="9" scale="39" fitToHeight="0"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8DE0C-3247-4EB8-9242-D2820A43AC31}">
  <dimension ref="A1"/>
  <sheetViews>
    <sheetView workbookViewId="0">
      <selection activeCell="U17" sqref="U17"/>
    </sheetView>
  </sheetViews>
  <sheetFormatPr baseColWidth="10" defaultColWidth="11.3984375" defaultRowHeight="14.25" x14ac:dyDescent="0.45"/>
  <cols>
    <col min="1" max="16384" width="11.3984375" style="10"/>
  </cols>
  <sheetData/>
  <pageMargins left="0.7" right="0.7" top="0.78740157499999996" bottom="0.78740157499999996"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1F0E5-C299-484E-99C7-8616FEA5D6A4}">
  <sheetPr codeName="Tabelle2"/>
  <dimension ref="A1:C20"/>
  <sheetViews>
    <sheetView workbookViewId="0">
      <selection activeCell="A3" sqref="A3"/>
    </sheetView>
  </sheetViews>
  <sheetFormatPr baseColWidth="10" defaultColWidth="10.73046875" defaultRowHeight="14.25" customHeight="1" x14ac:dyDescent="0.45"/>
  <cols>
    <col min="1" max="1" width="86.59765625" customWidth="1"/>
    <col min="3" max="3" width="36" customWidth="1"/>
  </cols>
  <sheetData>
    <row r="1" spans="1:3" ht="14.25" customHeight="1" x14ac:dyDescent="0.45">
      <c r="C1" t="s">
        <v>72</v>
      </c>
    </row>
    <row r="2" spans="1:3" ht="14.25" customHeight="1" x14ac:dyDescent="0.45">
      <c r="A2" s="7" t="s">
        <v>77</v>
      </c>
    </row>
    <row r="3" spans="1:3" ht="14.25" customHeight="1" x14ac:dyDescent="0.45">
      <c r="A3" s="7" t="s">
        <v>41</v>
      </c>
    </row>
    <row r="4" spans="1:3" ht="14.25" customHeight="1" x14ac:dyDescent="0.45">
      <c r="A4" s="7" t="s">
        <v>42</v>
      </c>
    </row>
    <row r="5" spans="1:3" ht="14.25" customHeight="1" x14ac:dyDescent="0.45">
      <c r="A5" s="7" t="s">
        <v>43</v>
      </c>
    </row>
    <row r="6" spans="1:3" ht="14.25" customHeight="1" x14ac:dyDescent="0.45">
      <c r="A6" s="7" t="s">
        <v>44</v>
      </c>
    </row>
    <row r="7" spans="1:3" ht="14.25" customHeight="1" x14ac:dyDescent="0.45">
      <c r="A7" s="7" t="s">
        <v>45</v>
      </c>
    </row>
    <row r="8" spans="1:3" ht="14.25" customHeight="1" x14ac:dyDescent="0.45">
      <c r="A8" s="7" t="s">
        <v>46</v>
      </c>
    </row>
    <row r="9" spans="1:3" ht="14.25" customHeight="1" x14ac:dyDescent="0.45">
      <c r="A9" s="7" t="s">
        <v>47</v>
      </c>
    </row>
    <row r="10" spans="1:3" ht="14.25" customHeight="1" x14ac:dyDescent="0.45">
      <c r="A10" s="7" t="s">
        <v>48</v>
      </c>
    </row>
    <row r="11" spans="1:3" ht="14.25" customHeight="1" x14ac:dyDescent="0.45">
      <c r="A11" s="7" t="s">
        <v>49</v>
      </c>
    </row>
    <row r="12" spans="1:3" ht="14.25" customHeight="1" x14ac:dyDescent="0.45">
      <c r="A12" s="7" t="s">
        <v>50</v>
      </c>
    </row>
    <row r="13" spans="1:3" ht="14.25" customHeight="1" x14ac:dyDescent="0.45">
      <c r="A13" s="7" t="s">
        <v>51</v>
      </c>
    </row>
    <row r="14" spans="1:3" ht="14.25" customHeight="1" x14ac:dyDescent="0.45">
      <c r="A14" s="7" t="s">
        <v>52</v>
      </c>
    </row>
    <row r="15" spans="1:3" ht="14.25" customHeight="1" x14ac:dyDescent="0.45">
      <c r="A15" s="7" t="s">
        <v>53</v>
      </c>
    </row>
    <row r="16" spans="1:3" ht="14.25" customHeight="1" x14ac:dyDescent="0.45">
      <c r="A16" s="7" t="s">
        <v>54</v>
      </c>
    </row>
    <row r="17" spans="1:1" ht="14.25" customHeight="1" x14ac:dyDescent="0.45">
      <c r="A17" s="7" t="s">
        <v>55</v>
      </c>
    </row>
    <row r="18" spans="1:1" ht="14.25" customHeight="1" x14ac:dyDescent="0.45">
      <c r="A18" s="7" t="s">
        <v>56</v>
      </c>
    </row>
    <row r="19" spans="1:1" ht="14.25" customHeight="1" x14ac:dyDescent="0.45">
      <c r="A19" s="7" t="s">
        <v>57</v>
      </c>
    </row>
    <row r="20" spans="1:1" ht="14.25" customHeight="1" x14ac:dyDescent="0.45">
      <c r="A20" s="7" t="s">
        <v>58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Tabelle1</vt:lpstr>
      <vt:lpstr>Tabelle2</vt:lpstr>
      <vt:lpstr>Tabelle4</vt:lpstr>
      <vt:lpstr>Helper</vt:lpstr>
      <vt:lpstr>prompt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Führing Sven</dc:creator>
  <cp:keywords/>
  <dc:description/>
  <cp:lastModifiedBy>Führing Sven</cp:lastModifiedBy>
  <cp:revision/>
  <cp:lastPrinted>2024-10-06T19:29:08Z</cp:lastPrinted>
  <dcterms:created xsi:type="dcterms:W3CDTF">2024-09-22T15:51:48Z</dcterms:created>
  <dcterms:modified xsi:type="dcterms:W3CDTF">2024-10-07T08:23:18Z</dcterms:modified>
  <cp:category/>
  <cp:contentStatus/>
</cp:coreProperties>
</file>