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DieseArbeitsmappe"/>
  <mc:AlternateContent xmlns:mc="http://schemas.openxmlformats.org/markup-compatibility/2006">
    <mc:Choice Requires="x15">
      <x15ac:absPath xmlns:x15ac="http://schemas.microsoft.com/office/spreadsheetml/2010/11/ac" url="G:\Meine Ablage\Moodle\neu\"/>
    </mc:Choice>
  </mc:AlternateContent>
  <xr:revisionPtr revIDLastSave="0" documentId="13_ncr:1_{CC5FB405-D7FF-4D3F-8293-27B65B13BD3C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MehrProzesse" sheetId="2" r:id="rId1"/>
    <sheet name="Tabelle1" sheetId="1" r:id="rId2"/>
  </sheets>
  <functionGroups builtInGroupCount="19"/>
  <definedNames>
    <definedName name="BestTSet">MehrProzesse!$K$2</definedName>
    <definedName name="BestTWahl">MehrProzesse!$K$3</definedName>
    <definedName name="EinMissSet">MehrProzesse!$L$2</definedName>
    <definedName name="EinMissWahl">MehrProzesse!$L$3</definedName>
    <definedName name="Elemente11">Tabelle1!$E$3</definedName>
    <definedName name="Elemente12">Tabelle1!$J$3:$K$3</definedName>
    <definedName name="Elemente13">Tabelle1!$P$3:$R$3</definedName>
    <definedName name="Elemente14">Tabelle1!$W$3:$Z$3</definedName>
    <definedName name="Elemente21">Tabelle1!$E$6:$E$7</definedName>
    <definedName name="Elemente22">Tabelle1!$J$6:$K$7</definedName>
    <definedName name="Elemente23">Tabelle1!$P$6:$R$7</definedName>
    <definedName name="Elemente24">Tabelle1!$W$6:$Z$7</definedName>
    <definedName name="Elemente31">Tabelle1!$E$10:$E$12</definedName>
    <definedName name="Elemente32">Tabelle1!$J$10:$K$12</definedName>
    <definedName name="Elemente33">Tabelle1!$P$10:$R$12</definedName>
    <definedName name="Elemente34">Tabelle1!$W$10:$Z$12</definedName>
    <definedName name="Elemente41">Tabelle1!$E$15:$E$18</definedName>
    <definedName name="Elemente42">Tabelle1!$J$15:$K$18</definedName>
    <definedName name="Elemente43">Tabelle1!$P$15:$R$18</definedName>
    <definedName name="Elemente44">Tabelle1!$W$15:$Z$18</definedName>
    <definedName name="ElementeMehr2">Tabelle1!$AF$6:$AF$7</definedName>
    <definedName name="ElementeMehr3">Tabelle1!$AF$10:$AF$12</definedName>
    <definedName name="ElementeMehr4">Tabelle1!$AF$15:$AF$18</definedName>
    <definedName name="EndSet">MehrProzesse!$E$2</definedName>
    <definedName name="EndWahl">MehrProzesse!$E$3</definedName>
    <definedName name="Inverse">MehrProzesse!$C$18</definedName>
    <definedName name="Matrix11">Tabelle1!$B$2:$F$4</definedName>
    <definedName name="Matrix12">Tabelle1!$G$2:$L$4</definedName>
    <definedName name="Matrix13">Tabelle1!$M$2:$S$4</definedName>
    <definedName name="Matrix14">Tabelle1!$T$2:$AA$4</definedName>
    <definedName name="Matrix21">Tabelle1!$B$5:$F$8</definedName>
    <definedName name="Matrix22">Tabelle1!$G$5:$L$8</definedName>
    <definedName name="Matrix23">Tabelle1!$M$5:$S$8</definedName>
    <definedName name="Matrix24">Tabelle1!$T$5:$AA$8</definedName>
    <definedName name="Matrix31">Tabelle1!$B$9:$F$13</definedName>
    <definedName name="Matrix32">Tabelle1!$G$9:$L$13</definedName>
    <definedName name="Matrix33">Tabelle1!$M$9:$S$13</definedName>
    <definedName name="Matrix34">Tabelle1!$T$9:$AA$13</definedName>
    <definedName name="Matrix41">Tabelle1!$B$14:$F$19</definedName>
    <definedName name="Matrix42">Tabelle1!$G$14:$L$19</definedName>
    <definedName name="Matrix43">Tabelle1!$M$14:$S$19</definedName>
    <definedName name="Matrix44">Tabelle1!$T$14:$AA$19</definedName>
    <definedName name="MatrixMehr2">Tabelle1!$AC$5:$AG$8</definedName>
    <definedName name="MatrixMehr3">Tabelle1!$AC$9:$AG$13</definedName>
    <definedName name="MatrixMehr4">Tabelle1!$AC$14:$AG$19</definedName>
    <definedName name="MehrDSet">MehrProzesse!$J$2</definedName>
    <definedName name="MehrDWahl">MehrProzesse!$J$3</definedName>
    <definedName name="MehrProzesse1">MehrProzesse!$B$28</definedName>
    <definedName name="MehrProzesse10">MehrProzesse!$B$125</definedName>
    <definedName name="MehrProzesse11">MehrProzesse!$B$139</definedName>
    <definedName name="MehrProzesse12">MehrProzesse!$B$150</definedName>
    <definedName name="MehrProzesse13">MehrProzesse!$B$157</definedName>
    <definedName name="MehrProzesse14">MehrProzesse!$B$164</definedName>
    <definedName name="MehrProzesse2">MehrProzesse!$B$36</definedName>
    <definedName name="MehrProzesse3">MehrProzesse!$B$41</definedName>
    <definedName name="MehrProzesse4">MehrProzesse!$B$54</definedName>
    <definedName name="Mehrprozesse5">MehrProzesse!$B$68</definedName>
    <definedName name="MehrProzesse6">MehrProzesse!$B$79</definedName>
    <definedName name="MehrProzesse7">MehrProzesse!$B$97</definedName>
    <definedName name="MehrProzesse8">MehrProzesse!$B$109</definedName>
    <definedName name="MehrProzesse9">MehrProzesse!$B$120</definedName>
    <definedName name="MErechSet">MehrProzesse!$I$2</definedName>
    <definedName name="MErechWahl">MehrProzesse!$I$3</definedName>
    <definedName name="Multiplikation1">MehrProzesse!$B$33</definedName>
    <definedName name="Multiplikation2">MehrProzesse!$B$34</definedName>
    <definedName name="PMSet">MehrProzesse!$H$2</definedName>
    <definedName name="PMWahl">MehrProzesse!$H$3</definedName>
    <definedName name="RE">MehrProzesse!$M$13:$P$16</definedName>
    <definedName name="REbinKoef">MehrProzesse!$T$15</definedName>
    <definedName name="REinv">MehrProzesse!$M$18:$P$21</definedName>
    <definedName name="RohSet">MehrProzesse!$C$2</definedName>
    <definedName name="RohWahl">MehrProzesse!$C$3</definedName>
    <definedName name="RZ">MehrProzesse!$C$13:$F$16</definedName>
    <definedName name="RZbinKoef">MehrProzesse!$T$13</definedName>
    <definedName name="RZinv">MehrProzesse!$C$18:$F$21</definedName>
    <definedName name="RZinvSet">MehrProzesse!$F$2</definedName>
    <definedName name="RZinvWahl">MehrProzesse!$F$3</definedName>
    <definedName name="Symbol11">Tabelle1!$C$3</definedName>
    <definedName name="Symbol22">Tabelle1!$H$6</definedName>
    <definedName name="Symbol23">Tabelle1!$N$6</definedName>
    <definedName name="Symbol24">Tabelle1!$U$6</definedName>
    <definedName name="Symbol32">Tabelle1!$H$10</definedName>
    <definedName name="Symbol33">Tabelle1!$N$10</definedName>
    <definedName name="Symbol34">Tabelle1!$U$10</definedName>
    <definedName name="Symbol42">Tabelle1!$H$15</definedName>
    <definedName name="Symbol43">Tabelle1!$N$15</definedName>
    <definedName name="Symbol44">Tabelle1!$U$15</definedName>
    <definedName name="TestRng">Tabelle1!$AB$17:$AG$19</definedName>
    <definedName name="ZE">MehrProzesse!$H$13:$K$16</definedName>
    <definedName name="ZEbinKoef">MehrProzesse!$T$14</definedName>
    <definedName name="ZEinv">MehrProzesse!$H$18:$K$21</definedName>
    <definedName name="ZEinvSet">MehrProzesse!$G$2</definedName>
    <definedName name="ZEinvWahl">MehrProzesse!$G$3</definedName>
    <definedName name="ZwischenSet">MehrProzesse!$D$2</definedName>
    <definedName name="ZwischenWahl">MehrProzesse!$D$3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6" i="2" l="1"/>
  <c r="Q170" i="2"/>
  <c r="B87" i="2"/>
  <c r="B137" i="2"/>
  <c r="B46" i="2"/>
  <c r="B82" i="2"/>
  <c r="B136" i="2"/>
  <c r="B120" i="2"/>
  <c r="B132" i="2"/>
  <c r="B61" i="2"/>
  <c r="Q180" i="2"/>
  <c r="B89" i="2"/>
  <c r="B122" i="2"/>
  <c r="B95" i="2"/>
  <c r="B133" i="2"/>
  <c r="B104" i="2"/>
  <c r="B159" i="2"/>
  <c r="B31" i="2"/>
  <c r="B151" i="2"/>
  <c r="B55" i="2"/>
  <c r="B63" i="2"/>
  <c r="B165" i="2"/>
  <c r="Q176" i="2"/>
  <c r="B69" i="2"/>
  <c r="B37" i="2"/>
  <c r="Q175" i="2"/>
  <c r="B153" i="2"/>
  <c r="B93" i="2"/>
  <c r="Q169" i="2"/>
  <c r="B129" i="2"/>
  <c r="B42" i="2"/>
  <c r="B51" i="2"/>
  <c r="B113" i="2"/>
  <c r="B152" i="2"/>
  <c r="B123" i="2"/>
  <c r="B145" i="2"/>
  <c r="B140" i="2"/>
  <c r="B121" i="2"/>
  <c r="Q178" i="2"/>
  <c r="B110" i="2"/>
  <c r="B134" i="2"/>
  <c r="B66" i="2"/>
  <c r="B162" i="2"/>
  <c r="Q173" i="2"/>
  <c r="Q172" i="2"/>
  <c r="B77" i="2"/>
  <c r="B98" i="2"/>
  <c r="B112" i="2"/>
  <c r="B52" i="2"/>
  <c r="B135" i="2"/>
  <c r="B142" i="2"/>
  <c r="B158" i="2"/>
  <c r="B101" i="2"/>
  <c r="B60" i="2"/>
  <c r="B103" i="2"/>
  <c r="B57" i="2"/>
  <c r="B94" i="2"/>
  <c r="B150" i="2"/>
  <c r="B72" i="2"/>
  <c r="B160" i="2"/>
  <c r="B29" i="2"/>
  <c r="B39" i="2"/>
  <c r="B148" i="2"/>
  <c r="B59" i="2"/>
  <c r="B76" i="2"/>
  <c r="B64" i="2"/>
  <c r="B71" i="2"/>
  <c r="B117" i="2"/>
  <c r="B74" i="2"/>
  <c r="B105" i="2"/>
  <c r="B147" i="2"/>
  <c r="B62" i="2"/>
  <c r="B83" i="2"/>
  <c r="B115" i="2"/>
  <c r="B106" i="2"/>
  <c r="B154" i="2"/>
  <c r="B44" i="2"/>
  <c r="B80" i="2"/>
  <c r="B92" i="2"/>
  <c r="B100" i="2"/>
  <c r="B50" i="2"/>
  <c r="B128" i="2"/>
  <c r="B146" i="2"/>
  <c r="B34" i="2"/>
  <c r="B75" i="2"/>
  <c r="Q179" i="2"/>
  <c r="B49" i="2"/>
  <c r="Q177" i="2"/>
  <c r="B90" i="2"/>
  <c r="B118" i="2"/>
  <c r="B164" i="2"/>
  <c r="Q174" i="2"/>
  <c r="Q171" i="2"/>
  <c r="B86" i="2"/>
  <c r="B41" i="2"/>
  <c r="B166" i="2"/>
  <c r="B161" i="2"/>
  <c r="B65" i="2"/>
  <c r="B131" i="2"/>
  <c r="B33" i="2"/>
  <c r="B155" i="2"/>
  <c r="B143" i="2"/>
  <c r="B126" i="2"/>
  <c r="B47" i="2"/>
  <c r="B97" i="2" l="1"/>
  <c r="B125" i="2"/>
  <c r="B109" i="2"/>
  <c r="B79" i="2"/>
  <c r="B139" i="2"/>
  <c r="B54" i="2"/>
  <c r="B68" i="2"/>
  <c r="B157" i="2"/>
</calcChain>
</file>

<file path=xl/sharedStrings.xml><?xml version="1.0" encoding="utf-8"?>
<sst xmlns="http://schemas.openxmlformats.org/spreadsheetml/2006/main" count="146" uniqueCount="88">
  <si>
    <t>=</t>
  </si>
  <si>
    <t>Szenario</t>
  </si>
  <si>
    <t>Rohstoffe</t>
  </si>
  <si>
    <t>Zwischenprodukt</t>
  </si>
  <si>
    <t>Endprodukt</t>
  </si>
  <si>
    <t>RZ inv</t>
  </si>
  <si>
    <t>ZE inv</t>
  </si>
  <si>
    <t>0: Zufall</t>
  </si>
  <si>
    <t>2: beliebig</t>
  </si>
  <si>
    <t>1: Z-invbar</t>
  </si>
  <si>
    <t>Gegeben ist die folgende Matrix:</t>
  </si>
  <si>
    <t>Gegeben sind die folgenden Matrizen:</t>
  </si>
  <si>
    <t>&lt;</t>
  </si>
  <si>
    <t>und</t>
  </si>
  <si>
    <t>A</t>
  </si>
  <si>
    <t>B</t>
  </si>
  <si>
    <t>C</t>
  </si>
  <si>
    <t>RZ</t>
  </si>
  <si>
    <t>1: RZ</t>
  </si>
  <si>
    <t>2: ZE</t>
  </si>
  <si>
    <t>3: RE</t>
  </si>
  <si>
    <t>01 Multiplikation</t>
  </si>
  <si>
    <t>02 Inverse</t>
  </si>
  <si>
    <t>Gib das Elemenz aus 3. palte zeite zeile an.</t>
  </si>
  <si>
    <t>berechne 4A+2B</t>
  </si>
  <si>
    <t>löse nach X auf: AX+2B=C</t>
  </si>
  <si>
    <t>&lt;br/&gt;&lt;/p&gt;</t>
  </si>
  <si>
    <t>03 PM Bestimmung</t>
  </si>
  <si>
    <t>RE</t>
  </si>
  <si>
    <t>1: E-&gt;R</t>
  </si>
  <si>
    <t>2: E-&gt;Z</t>
  </si>
  <si>
    <t>3: Z-&gt;R</t>
  </si>
  <si>
    <t>PM</t>
  </si>
  <si>
    <t>ME-Rechnungen</t>
  </si>
  <si>
    <t>04  Matrizenelemente</t>
  </si>
  <si>
    <t>05 ME Rechnungen</t>
  </si>
  <si>
    <t>Geben Sie den Vektor der Rohstoffkosten an (nachweisfrei).</t>
  </si>
  <si>
    <t>Geben Sie den Vektor der Fertigungskosten der 1. Produktionsstufe an (nachweisfrei).</t>
  </si>
  <si>
    <t>Geben Sie den Vektor der Fertigungskosten der 2. Produktionsstufe an (nachweisfrei).</t>
  </si>
  <si>
    <t>4: R-&gt;E</t>
  </si>
  <si>
    <t>5: Z-&gt;E</t>
  </si>
  <si>
    <t>6: R-&gt;Z</t>
  </si>
  <si>
    <t>08 Kosten gesamt</t>
  </si>
  <si>
    <t>07 Kosten variabel</t>
  </si>
  <si>
    <t>06 Kosten je Stufe</t>
  </si>
  <si>
    <t>09 Erlöse</t>
  </si>
  <si>
    <t>10 Deckungsbeiträge</t>
  </si>
  <si>
    <t>11 Gewinn</t>
  </si>
  <si>
    <t>Bestimmen Sie die Inverse (Lösung einschließlich Rechenweg).</t>
  </si>
  <si>
    <t>m</t>
  </si>
  <si>
    <t>1: tmax</t>
  </si>
  <si>
    <t>2: max M</t>
  </si>
  <si>
    <t>3: min M</t>
  </si>
  <si>
    <t>4: min K</t>
  </si>
  <si>
    <t>5: max E</t>
  </si>
  <si>
    <t>6: max DB</t>
  </si>
  <si>
    <t>Mehrd. - min/max</t>
  </si>
  <si>
    <t>Mehrd. - t Bestimmung</t>
  </si>
  <si>
    <t>4: geg K</t>
  </si>
  <si>
    <t>5: geg E</t>
  </si>
  <si>
    <t>6: geg DB</t>
  </si>
  <si>
    <t>3: Vielfaches</t>
  </si>
  <si>
    <t>1: geg eine ME</t>
  </si>
  <si>
    <t>2: geg Summe ME</t>
  </si>
  <si>
    <t>14 ein fehlender Wert</t>
  </si>
  <si>
    <t>ein fehl Wert</t>
  </si>
  <si>
    <t>1: varK geg varK</t>
  </si>
  <si>
    <t>2: preis geg Erlös</t>
  </si>
  <si>
    <t>3: varK geg DB</t>
  </si>
  <si>
    <t>4: preis geg DB</t>
  </si>
  <si>
    <t>12 Mehrd. PV - Min. und Max.</t>
  </si>
  <si>
    <t>13 Mehrd. PV - t Bestimmung</t>
  </si>
  <si>
    <t>Berechnen Sie das Produkt A·B (Lösung einschließlich Rechenweg).</t>
  </si>
  <si>
    <t xml:space="preserve">18 25 \\ 11 13 \\ 3 4 \\ 6 8 \\ </t>
  </si>
  <si>
    <t xml:space="preserve">1 0 0 -1 \\ 0 1 -1 -2 \\ -1 -1 2 3 \\ 0 -1 0 3 \\ </t>
  </si>
  <si>
    <t>a</t>
  </si>
  <si>
    <t>b</t>
  </si>
  <si>
    <t>c</t>
  </si>
  <si>
    <t>d</t>
  </si>
  <si>
    <t>e</t>
  </si>
  <si>
    <t>f</t>
  </si>
  <si>
    <t>g</t>
  </si>
  <si>
    <t>h</t>
  </si>
  <si>
    <t>5t</t>
  </si>
  <si>
    <t>65 - 3t</t>
  </si>
  <si>
    <t>36 - 2t</t>
  </si>
  <si>
    <t>82 + 3t</t>
  </si>
  <si>
    <t>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</si>
</sst>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4" borderId="0" applyNumberFormat="0" applyBorder="0" applyAlignment="0" applyProtection="0"/>
  </cellStyleXfs>
  <cellXfs count="14">
    <xf numFmtId="0" fontId="0" fillId="0" borderId="0" xfId="0"/>
    <xf numFmtId="0" fontId="1" fillId="2" borderId="1" xfId="1"/>
    <xf numFmtId="0" fontId="0" fillId="0" borderId="0" xfId="0" applyAlignment="1">
      <alignment horizontal="right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3" borderId="0" xfId="0" quotePrefix="1" applyFill="1" applyAlignment="1">
      <alignment horizontal="center" vertical="center"/>
    </xf>
    <xf numFmtId="0" fontId="2" fillId="4" borderId="0" xfId="2"/>
    <xf numFmtId="0" fontId="0" fillId="4" borderId="0" xfId="2" applyFont="1"/>
    <xf numFmtId="0" fontId="0" fillId="3" borderId="0" xfId="0" quotePrefix="1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3">
    <cellStyle name="40 % - Akzent6" xfId="2" builtinId="51"/>
    <cellStyle name="Eingabe" xfId="1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</xdr:row>
          <xdr:rowOff>104775</xdr:rowOff>
        </xdr:from>
        <xdr:to>
          <xdr:col>0</xdr:col>
          <xdr:colOff>1019175</xdr:colOff>
          <xdr:row>32</xdr:row>
          <xdr:rowOff>85725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35</xdr:row>
          <xdr:rowOff>142875</xdr:rowOff>
        </xdr:from>
        <xdr:to>
          <xdr:col>0</xdr:col>
          <xdr:colOff>1152525</xdr:colOff>
          <xdr:row>38</xdr:row>
          <xdr:rowOff>19050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42</xdr:row>
          <xdr:rowOff>0</xdr:rowOff>
        </xdr:from>
        <xdr:to>
          <xdr:col>0</xdr:col>
          <xdr:colOff>1038225</xdr:colOff>
          <xdr:row>44</xdr:row>
          <xdr:rowOff>57150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54</xdr:row>
          <xdr:rowOff>0</xdr:rowOff>
        </xdr:from>
        <xdr:to>
          <xdr:col>0</xdr:col>
          <xdr:colOff>1104900</xdr:colOff>
          <xdr:row>56</xdr:row>
          <xdr:rowOff>57150</xdr:rowOff>
        </xdr:to>
        <xdr:sp macro="" textlink="">
          <xdr:nvSpPr>
            <xdr:cNvPr id="2055" name="CommandButto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68</xdr:row>
          <xdr:rowOff>133350</xdr:rowOff>
        </xdr:from>
        <xdr:to>
          <xdr:col>0</xdr:col>
          <xdr:colOff>942975</xdr:colOff>
          <xdr:row>71</xdr:row>
          <xdr:rowOff>9525</xdr:rowOff>
        </xdr:to>
        <xdr:sp macro="" textlink="">
          <xdr:nvSpPr>
            <xdr:cNvPr id="2056" name="CommandButton6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79</xdr:row>
          <xdr:rowOff>152400</xdr:rowOff>
        </xdr:from>
        <xdr:to>
          <xdr:col>0</xdr:col>
          <xdr:colOff>971550</xdr:colOff>
          <xdr:row>82</xdr:row>
          <xdr:rowOff>28575</xdr:rowOff>
        </xdr:to>
        <xdr:sp macro="" textlink="">
          <xdr:nvSpPr>
            <xdr:cNvPr id="2057" name="CommandButton7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99</xdr:row>
          <xdr:rowOff>19050</xdr:rowOff>
        </xdr:from>
        <xdr:to>
          <xdr:col>0</xdr:col>
          <xdr:colOff>981075</xdr:colOff>
          <xdr:row>101</xdr:row>
          <xdr:rowOff>95250</xdr:rowOff>
        </xdr:to>
        <xdr:sp macro="" textlink="">
          <xdr:nvSpPr>
            <xdr:cNvPr id="2058" name="CommandButton8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110</xdr:row>
          <xdr:rowOff>85725</xdr:rowOff>
        </xdr:from>
        <xdr:to>
          <xdr:col>0</xdr:col>
          <xdr:colOff>952500</xdr:colOff>
          <xdr:row>112</xdr:row>
          <xdr:rowOff>161925</xdr:rowOff>
        </xdr:to>
        <xdr:sp macro="" textlink="">
          <xdr:nvSpPr>
            <xdr:cNvPr id="2059" name="CommandButton9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119</xdr:row>
          <xdr:rowOff>142875</xdr:rowOff>
        </xdr:from>
        <xdr:to>
          <xdr:col>0</xdr:col>
          <xdr:colOff>1209675</xdr:colOff>
          <xdr:row>122</xdr:row>
          <xdr:rowOff>38100</xdr:rowOff>
        </xdr:to>
        <xdr:sp macro="" textlink="">
          <xdr:nvSpPr>
            <xdr:cNvPr id="2060" name="CommandButton1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126</xdr:row>
          <xdr:rowOff>66675</xdr:rowOff>
        </xdr:from>
        <xdr:to>
          <xdr:col>0</xdr:col>
          <xdr:colOff>1095375</xdr:colOff>
          <xdr:row>128</xdr:row>
          <xdr:rowOff>142875</xdr:rowOff>
        </xdr:to>
        <xdr:sp macro="" textlink="">
          <xdr:nvSpPr>
            <xdr:cNvPr id="2061" name="CommandButton1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140</xdr:row>
          <xdr:rowOff>0</xdr:rowOff>
        </xdr:from>
        <xdr:to>
          <xdr:col>0</xdr:col>
          <xdr:colOff>1047750</xdr:colOff>
          <xdr:row>142</xdr:row>
          <xdr:rowOff>76200</xdr:rowOff>
        </xdr:to>
        <xdr:sp macro="" textlink="">
          <xdr:nvSpPr>
            <xdr:cNvPr id="2062" name="CommandButton12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149</xdr:row>
          <xdr:rowOff>114300</xdr:rowOff>
        </xdr:from>
        <xdr:to>
          <xdr:col>0</xdr:col>
          <xdr:colOff>1257300</xdr:colOff>
          <xdr:row>152</xdr:row>
          <xdr:rowOff>9525</xdr:rowOff>
        </xdr:to>
        <xdr:sp macro="" textlink="">
          <xdr:nvSpPr>
            <xdr:cNvPr id="2063" name="CommandButton13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157</xdr:row>
          <xdr:rowOff>133350</xdr:rowOff>
        </xdr:from>
        <xdr:to>
          <xdr:col>0</xdr:col>
          <xdr:colOff>1304925</xdr:colOff>
          <xdr:row>160</xdr:row>
          <xdr:rowOff>28575</xdr:rowOff>
        </xdr:to>
        <xdr:sp macro="" textlink="">
          <xdr:nvSpPr>
            <xdr:cNvPr id="2064" name="CommandButton14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163</xdr:row>
          <xdr:rowOff>47625</xdr:rowOff>
        </xdr:from>
        <xdr:to>
          <xdr:col>0</xdr:col>
          <xdr:colOff>1209675</xdr:colOff>
          <xdr:row>165</xdr:row>
          <xdr:rowOff>123825</xdr:rowOff>
        </xdr:to>
        <xdr:sp macro="" textlink="">
          <xdr:nvSpPr>
            <xdr:cNvPr id="2065" name="CommandButton15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219588</xdr:colOff>
      <xdr:row>9</xdr:row>
      <xdr:rowOff>7621</xdr:rowOff>
    </xdr:from>
    <xdr:to>
      <xdr:col>10</xdr:col>
      <xdr:colOff>280490</xdr:colOff>
      <xdr:row>11</xdr:row>
      <xdr:rowOff>261461</xdr:rowOff>
    </xdr:to>
    <xdr:sp macro="" textlink="">
      <xdr:nvSpPr>
        <xdr:cNvPr id="2" name="Eckige Klammer recht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077088" y="4025980"/>
          <a:ext cx="60902" cy="789622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9</xdr:col>
      <xdr:colOff>9377</xdr:colOff>
      <xdr:row>9</xdr:row>
      <xdr:rowOff>10541</xdr:rowOff>
    </xdr:from>
    <xdr:to>
      <xdr:col>9</xdr:col>
      <xdr:colOff>70279</xdr:colOff>
      <xdr:row>11</xdr:row>
      <xdr:rowOff>267228</xdr:rowOff>
    </xdr:to>
    <xdr:sp macro="" textlink="">
      <xdr:nvSpPr>
        <xdr:cNvPr id="7" name="Eckige Klammer recht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2581127" y="4028900"/>
          <a:ext cx="60902" cy="792469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217158</xdr:colOff>
      <xdr:row>5</xdr:row>
      <xdr:rowOff>26142</xdr:rowOff>
    </xdr:from>
    <xdr:to>
      <xdr:col>10</xdr:col>
      <xdr:colOff>278060</xdr:colOff>
      <xdr:row>6</xdr:row>
      <xdr:rowOff>262252</xdr:rowOff>
    </xdr:to>
    <xdr:sp macro="" textlink="">
      <xdr:nvSpPr>
        <xdr:cNvPr id="4" name="Eckige Klammer recht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074658" y="3240830"/>
          <a:ext cx="60902" cy="50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9</xdr:col>
      <xdr:colOff>6677</xdr:colOff>
      <xdr:row>5</xdr:row>
      <xdr:rowOff>26090</xdr:rowOff>
    </xdr:from>
    <xdr:to>
      <xdr:col>9</xdr:col>
      <xdr:colOff>67579</xdr:colOff>
      <xdr:row>6</xdr:row>
      <xdr:rowOff>262200</xdr:rowOff>
    </xdr:to>
    <xdr:sp macro="" textlink="">
      <xdr:nvSpPr>
        <xdr:cNvPr id="5" name="Eckige Klammer recht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2578427" y="3240778"/>
          <a:ext cx="60902" cy="50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220730</xdr:colOff>
      <xdr:row>5</xdr:row>
      <xdr:rowOff>17808</xdr:rowOff>
    </xdr:from>
    <xdr:to>
      <xdr:col>25</xdr:col>
      <xdr:colOff>281632</xdr:colOff>
      <xdr:row>6</xdr:row>
      <xdr:rowOff>253918</xdr:rowOff>
    </xdr:to>
    <xdr:sp macro="" textlink="">
      <xdr:nvSpPr>
        <xdr:cNvPr id="8" name="Eckige Klammer recht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935980" y="3232496"/>
          <a:ext cx="60902" cy="50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218349</xdr:colOff>
      <xdr:row>5</xdr:row>
      <xdr:rowOff>21379</xdr:rowOff>
    </xdr:from>
    <xdr:to>
      <xdr:col>17</xdr:col>
      <xdr:colOff>279251</xdr:colOff>
      <xdr:row>6</xdr:row>
      <xdr:rowOff>257489</xdr:rowOff>
    </xdr:to>
    <xdr:sp macro="" textlink="">
      <xdr:nvSpPr>
        <xdr:cNvPr id="9" name="Eckige Klammer recht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933349" y="3236067"/>
          <a:ext cx="60902" cy="50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22</xdr:col>
      <xdr:colOff>10249</xdr:colOff>
      <xdr:row>5</xdr:row>
      <xdr:rowOff>23709</xdr:rowOff>
    </xdr:from>
    <xdr:to>
      <xdr:col>22</xdr:col>
      <xdr:colOff>71151</xdr:colOff>
      <xdr:row>6</xdr:row>
      <xdr:rowOff>259819</xdr:rowOff>
    </xdr:to>
    <xdr:sp macro="" textlink="">
      <xdr:nvSpPr>
        <xdr:cNvPr id="10" name="Eckige Klammer recht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flipH="1">
          <a:off x="5201374" y="890484"/>
          <a:ext cx="60902" cy="50281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12631</xdr:colOff>
      <xdr:row>5</xdr:row>
      <xdr:rowOff>21327</xdr:rowOff>
    </xdr:from>
    <xdr:to>
      <xdr:col>15</xdr:col>
      <xdr:colOff>73533</xdr:colOff>
      <xdr:row>6</xdr:row>
      <xdr:rowOff>257437</xdr:rowOff>
    </xdr:to>
    <xdr:sp macro="" textlink="">
      <xdr:nvSpPr>
        <xdr:cNvPr id="11" name="Eckige Klammer recht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flipH="1">
          <a:off x="3641656" y="888102"/>
          <a:ext cx="60902" cy="50281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229113</xdr:colOff>
      <xdr:row>9</xdr:row>
      <xdr:rowOff>11193</xdr:rowOff>
    </xdr:from>
    <xdr:to>
      <xdr:col>26</xdr:col>
      <xdr:colOff>4265</xdr:colOff>
      <xdr:row>11</xdr:row>
      <xdr:rowOff>265033</xdr:rowOff>
    </xdr:to>
    <xdr:sp macro="" textlink="">
      <xdr:nvSpPr>
        <xdr:cNvPr id="12" name="Eckige Klammer recht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944363" y="4029552"/>
          <a:ext cx="60902" cy="789622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22</xdr:col>
      <xdr:colOff>12949</xdr:colOff>
      <xdr:row>9</xdr:row>
      <xdr:rowOff>8160</xdr:rowOff>
    </xdr:from>
    <xdr:to>
      <xdr:col>22</xdr:col>
      <xdr:colOff>73851</xdr:colOff>
      <xdr:row>11</xdr:row>
      <xdr:rowOff>264847</xdr:rowOff>
    </xdr:to>
    <xdr:sp macro="" textlink="">
      <xdr:nvSpPr>
        <xdr:cNvPr id="14" name="Eckige Klammer recht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flipH="1">
          <a:off x="6870949" y="4026519"/>
          <a:ext cx="60902" cy="792469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214312</xdr:colOff>
      <xdr:row>14</xdr:row>
      <xdr:rowOff>11906</xdr:rowOff>
    </xdr:from>
    <xdr:to>
      <xdr:col>10</xdr:col>
      <xdr:colOff>275214</xdr:colOff>
      <xdr:row>17</xdr:row>
      <xdr:rowOff>252234</xdr:rowOff>
    </xdr:to>
    <xdr:sp macro="" textlink="">
      <xdr:nvSpPr>
        <xdr:cNvPr id="16" name="Eckige Klammer recht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071812" y="5101828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211931</xdr:colOff>
      <xdr:row>14</xdr:row>
      <xdr:rowOff>21432</xdr:rowOff>
    </xdr:from>
    <xdr:to>
      <xdr:col>17</xdr:col>
      <xdr:colOff>272833</xdr:colOff>
      <xdr:row>17</xdr:row>
      <xdr:rowOff>261760</xdr:rowOff>
    </xdr:to>
    <xdr:sp macro="" textlink="">
      <xdr:nvSpPr>
        <xdr:cNvPr id="17" name="Eckige Klammer recht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926931" y="5111354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221456</xdr:colOff>
      <xdr:row>14</xdr:row>
      <xdr:rowOff>19051</xdr:rowOff>
    </xdr:from>
    <xdr:to>
      <xdr:col>25</xdr:col>
      <xdr:colOff>282358</xdr:colOff>
      <xdr:row>17</xdr:row>
      <xdr:rowOff>259379</xdr:rowOff>
    </xdr:to>
    <xdr:sp macro="" textlink="">
      <xdr:nvSpPr>
        <xdr:cNvPr id="18" name="Eckige Klammer recht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36706" y="5108973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9</xdr:col>
      <xdr:colOff>9524</xdr:colOff>
      <xdr:row>14</xdr:row>
      <xdr:rowOff>21431</xdr:rowOff>
    </xdr:from>
    <xdr:to>
      <xdr:col>9</xdr:col>
      <xdr:colOff>70426</xdr:colOff>
      <xdr:row>17</xdr:row>
      <xdr:rowOff>261759</xdr:rowOff>
    </xdr:to>
    <xdr:sp macro="" textlink="">
      <xdr:nvSpPr>
        <xdr:cNvPr id="19" name="Eckige Klammer recht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 flipH="1">
          <a:off x="2581274" y="5111353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22</xdr:col>
      <xdr:colOff>13096</xdr:colOff>
      <xdr:row>14</xdr:row>
      <xdr:rowOff>19050</xdr:rowOff>
    </xdr:from>
    <xdr:to>
      <xdr:col>22</xdr:col>
      <xdr:colOff>73998</xdr:colOff>
      <xdr:row>17</xdr:row>
      <xdr:rowOff>259378</xdr:rowOff>
    </xdr:to>
    <xdr:sp macro="" textlink="">
      <xdr:nvSpPr>
        <xdr:cNvPr id="20" name="Eckige Klammer recht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 flipH="1">
          <a:off x="6871096" y="5108972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10716</xdr:colOff>
      <xdr:row>14</xdr:row>
      <xdr:rowOff>22621</xdr:rowOff>
    </xdr:from>
    <xdr:to>
      <xdr:col>15</xdr:col>
      <xdr:colOff>71618</xdr:colOff>
      <xdr:row>17</xdr:row>
      <xdr:rowOff>262949</xdr:rowOff>
    </xdr:to>
    <xdr:sp macro="" textlink="">
      <xdr:nvSpPr>
        <xdr:cNvPr id="21" name="Eckige Klammer recht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 flipH="1">
          <a:off x="5154216" y="5112543"/>
          <a:ext cx="60902" cy="1044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227922</xdr:colOff>
      <xdr:row>9</xdr:row>
      <xdr:rowOff>18337</xdr:rowOff>
    </xdr:from>
    <xdr:to>
      <xdr:col>18</xdr:col>
      <xdr:colOff>3074</xdr:colOff>
      <xdr:row>12</xdr:row>
      <xdr:rowOff>4286</xdr:rowOff>
    </xdr:to>
    <xdr:sp macro="" textlink="">
      <xdr:nvSpPr>
        <xdr:cNvPr id="24" name="Eckige Klammer recht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085672" y="4304587"/>
          <a:ext cx="60902" cy="789621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18902</xdr:colOff>
      <xdr:row>9</xdr:row>
      <xdr:rowOff>18875</xdr:rowOff>
    </xdr:from>
    <xdr:to>
      <xdr:col>15</xdr:col>
      <xdr:colOff>79804</xdr:colOff>
      <xdr:row>12</xdr:row>
      <xdr:rowOff>8862</xdr:rowOff>
    </xdr:to>
    <xdr:sp macro="" textlink="">
      <xdr:nvSpPr>
        <xdr:cNvPr id="25" name="Eckige Klammer recht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flipH="1">
          <a:off x="4305152" y="4286075"/>
          <a:ext cx="60902" cy="790087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277219</xdr:colOff>
      <xdr:row>5</xdr:row>
      <xdr:rowOff>20253</xdr:rowOff>
    </xdr:from>
    <xdr:to>
      <xdr:col>4</xdr:col>
      <xdr:colOff>53972</xdr:colOff>
      <xdr:row>6</xdr:row>
      <xdr:rowOff>256363</xdr:rowOff>
    </xdr:to>
    <xdr:sp macro="" textlink="">
      <xdr:nvSpPr>
        <xdr:cNvPr id="22" name="Eckige Klammer recht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 flipH="1">
          <a:off x="1136170" y="955744"/>
          <a:ext cx="63070" cy="502583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229164</xdr:colOff>
      <xdr:row>5</xdr:row>
      <xdr:rowOff>21973</xdr:rowOff>
    </xdr:from>
    <xdr:to>
      <xdr:col>5</xdr:col>
      <xdr:colOff>5917</xdr:colOff>
      <xdr:row>6</xdr:row>
      <xdr:rowOff>258083</xdr:rowOff>
    </xdr:to>
    <xdr:sp macro="" textlink="">
      <xdr:nvSpPr>
        <xdr:cNvPr id="23" name="Eckige Klammer recht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374432" y="957464"/>
          <a:ext cx="63070" cy="502583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1440</xdr:colOff>
      <xdr:row>9</xdr:row>
      <xdr:rowOff>9123</xdr:rowOff>
    </xdr:from>
    <xdr:to>
      <xdr:col>4</xdr:col>
      <xdr:colOff>62342</xdr:colOff>
      <xdr:row>11</xdr:row>
      <xdr:rowOff>265810</xdr:rowOff>
    </xdr:to>
    <xdr:sp macro="" textlink="">
      <xdr:nvSpPr>
        <xdr:cNvPr id="26" name="Eckige Klammer rechts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flipH="1">
          <a:off x="1146708" y="1613632"/>
          <a:ext cx="60902" cy="789633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225257</xdr:colOff>
      <xdr:row>9</xdr:row>
      <xdr:rowOff>11873</xdr:rowOff>
    </xdr:from>
    <xdr:to>
      <xdr:col>4</xdr:col>
      <xdr:colOff>286159</xdr:colOff>
      <xdr:row>11</xdr:row>
      <xdr:rowOff>265713</xdr:rowOff>
    </xdr:to>
    <xdr:sp macro="" textlink="">
      <xdr:nvSpPr>
        <xdr:cNvPr id="27" name="Eckige Klammer rechts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370525" y="1616382"/>
          <a:ext cx="60902" cy="786786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4421</xdr:colOff>
      <xdr:row>14</xdr:row>
      <xdr:rowOff>20013</xdr:rowOff>
    </xdr:from>
    <xdr:to>
      <xdr:col>4</xdr:col>
      <xdr:colOff>65323</xdr:colOff>
      <xdr:row>17</xdr:row>
      <xdr:rowOff>260341</xdr:rowOff>
    </xdr:to>
    <xdr:sp macro="" textlink="">
      <xdr:nvSpPr>
        <xdr:cNvPr id="28" name="Eckige Klammer recht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 flipH="1">
          <a:off x="1149689" y="2560013"/>
          <a:ext cx="60902" cy="1039748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228486</xdr:colOff>
      <xdr:row>14</xdr:row>
      <xdr:rowOff>21827</xdr:rowOff>
    </xdr:from>
    <xdr:to>
      <xdr:col>5</xdr:col>
      <xdr:colOff>3071</xdr:colOff>
      <xdr:row>17</xdr:row>
      <xdr:rowOff>262155</xdr:rowOff>
    </xdr:to>
    <xdr:sp macro="" textlink="">
      <xdr:nvSpPr>
        <xdr:cNvPr id="29" name="Eckige Klammer rechts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73754" y="2561827"/>
          <a:ext cx="60902" cy="1039748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6677</xdr:colOff>
      <xdr:row>2</xdr:row>
      <xdr:rowOff>11127</xdr:rowOff>
    </xdr:from>
    <xdr:to>
      <xdr:col>4</xdr:col>
      <xdr:colOff>69747</xdr:colOff>
      <xdr:row>2</xdr:row>
      <xdr:rowOff>263127</xdr:rowOff>
    </xdr:to>
    <xdr:sp macro="" textlink="">
      <xdr:nvSpPr>
        <xdr:cNvPr id="30" name="Eckige Klammer rechts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 flipH="1">
          <a:off x="1146116" y="545239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212488</xdr:colOff>
      <xdr:row>2</xdr:row>
      <xdr:rowOff>12194</xdr:rowOff>
    </xdr:from>
    <xdr:to>
      <xdr:col>4</xdr:col>
      <xdr:colOff>275558</xdr:colOff>
      <xdr:row>2</xdr:row>
      <xdr:rowOff>264194</xdr:rowOff>
    </xdr:to>
    <xdr:sp macro="" textlink="">
      <xdr:nvSpPr>
        <xdr:cNvPr id="31" name="Eckige Klammer recht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351927" y="546306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22</xdr:col>
      <xdr:colOff>2226</xdr:colOff>
      <xdr:row>2</xdr:row>
      <xdr:rowOff>11127</xdr:rowOff>
    </xdr:from>
    <xdr:to>
      <xdr:col>22</xdr:col>
      <xdr:colOff>65296</xdr:colOff>
      <xdr:row>2</xdr:row>
      <xdr:rowOff>263127</xdr:rowOff>
    </xdr:to>
    <xdr:sp macro="" textlink="">
      <xdr:nvSpPr>
        <xdr:cNvPr id="32" name="Eckige Klammer recht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 flipH="1">
          <a:off x="4987273" y="545239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25</xdr:col>
      <xdr:colOff>214702</xdr:colOff>
      <xdr:row>2</xdr:row>
      <xdr:rowOff>12194</xdr:rowOff>
    </xdr:from>
    <xdr:to>
      <xdr:col>25</xdr:col>
      <xdr:colOff>277772</xdr:colOff>
      <xdr:row>2</xdr:row>
      <xdr:rowOff>264194</xdr:rowOff>
    </xdr:to>
    <xdr:sp macro="" textlink="">
      <xdr:nvSpPr>
        <xdr:cNvPr id="33" name="Eckige Klammer rechts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6054328" y="546306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7744</xdr:colOff>
      <xdr:row>2</xdr:row>
      <xdr:rowOff>9970</xdr:rowOff>
    </xdr:from>
    <xdr:to>
      <xdr:col>15</xdr:col>
      <xdr:colOff>70814</xdr:colOff>
      <xdr:row>2</xdr:row>
      <xdr:rowOff>261970</xdr:rowOff>
    </xdr:to>
    <xdr:sp macro="" textlink="">
      <xdr:nvSpPr>
        <xdr:cNvPr id="34" name="Eckige Klammer rechts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 flipH="1">
          <a:off x="3426062" y="544082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226909</xdr:colOff>
      <xdr:row>2</xdr:row>
      <xdr:rowOff>11038</xdr:rowOff>
    </xdr:from>
    <xdr:to>
      <xdr:col>18</xdr:col>
      <xdr:colOff>5119</xdr:colOff>
      <xdr:row>2</xdr:row>
      <xdr:rowOff>263038</xdr:rowOff>
    </xdr:to>
    <xdr:sp macro="" textlink="">
      <xdr:nvSpPr>
        <xdr:cNvPr id="35" name="Eckige Klammer recht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214946" y="545150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280319</xdr:colOff>
      <xdr:row>2</xdr:row>
      <xdr:rowOff>13264</xdr:rowOff>
    </xdr:from>
    <xdr:to>
      <xdr:col>9</xdr:col>
      <xdr:colOff>58529</xdr:colOff>
      <xdr:row>2</xdr:row>
      <xdr:rowOff>265264</xdr:rowOff>
    </xdr:to>
    <xdr:sp macro="" textlink="">
      <xdr:nvSpPr>
        <xdr:cNvPr id="36" name="Eckige Klammer recht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flipH="1">
          <a:off x="2131908" y="547376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227976</xdr:colOff>
      <xdr:row>2</xdr:row>
      <xdr:rowOff>14331</xdr:rowOff>
    </xdr:from>
    <xdr:to>
      <xdr:col>11</xdr:col>
      <xdr:colOff>6186</xdr:colOff>
      <xdr:row>2</xdr:row>
      <xdr:rowOff>266331</xdr:rowOff>
    </xdr:to>
    <xdr:sp macro="" textlink="">
      <xdr:nvSpPr>
        <xdr:cNvPr id="37" name="Eckige Klammer rechts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2649284" y="548443"/>
          <a:ext cx="63070" cy="25200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29</xdr:col>
      <xdr:colOff>161463</xdr:colOff>
      <xdr:row>10</xdr:row>
      <xdr:rowOff>71545</xdr:rowOff>
    </xdr:from>
    <xdr:to>
      <xdr:col>29</xdr:col>
      <xdr:colOff>269463</xdr:colOff>
      <xdr:row>10</xdr:row>
      <xdr:rowOff>71545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6167840" y="1739425"/>
          <a:ext cx="108000" cy="0"/>
        </a:xfrm>
        <a:prstGeom prst="straightConnector1">
          <a:avLst/>
        </a:prstGeom>
        <a:ln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4647</xdr:colOff>
      <xdr:row>9</xdr:row>
      <xdr:rowOff>9292</xdr:rowOff>
    </xdr:from>
    <xdr:to>
      <xdr:col>31</xdr:col>
      <xdr:colOff>65549</xdr:colOff>
      <xdr:row>11</xdr:row>
      <xdr:rowOff>265979</xdr:rowOff>
    </xdr:to>
    <xdr:sp macro="" textlink="">
      <xdr:nvSpPr>
        <xdr:cNvPr id="38" name="Eckige Klammer recht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 flipH="1">
          <a:off x="6514171" y="1414811"/>
          <a:ext cx="60902" cy="791016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29</xdr:col>
      <xdr:colOff>165481</xdr:colOff>
      <xdr:row>5</xdr:row>
      <xdr:rowOff>205700</xdr:rowOff>
    </xdr:from>
    <xdr:to>
      <xdr:col>29</xdr:col>
      <xdr:colOff>273481</xdr:colOff>
      <xdr:row>5</xdr:row>
      <xdr:rowOff>205700</xdr:rowOff>
    </xdr:to>
    <xdr:cxnSp macro="">
      <xdr:nvCxnSpPr>
        <xdr:cNvPr id="40" name="Gerade Verbindung mit Pfeil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>
          <a:off x="6171858" y="939165"/>
          <a:ext cx="108000" cy="0"/>
        </a:xfrm>
        <a:prstGeom prst="straightConnector1">
          <a:avLst/>
        </a:prstGeom>
        <a:ln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166226</xdr:colOff>
      <xdr:row>15</xdr:row>
      <xdr:rowOff>208200</xdr:rowOff>
    </xdr:from>
    <xdr:to>
      <xdr:col>29</xdr:col>
      <xdr:colOff>264701</xdr:colOff>
      <xdr:row>15</xdr:row>
      <xdr:rowOff>208200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6172603" y="2810495"/>
          <a:ext cx="98475" cy="0"/>
        </a:xfrm>
        <a:prstGeom prst="straightConnector1">
          <a:avLst/>
        </a:prstGeom>
        <a:ln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275053</xdr:colOff>
      <xdr:row>14</xdr:row>
      <xdr:rowOff>12734</xdr:rowOff>
    </xdr:from>
    <xdr:to>
      <xdr:col>31</xdr:col>
      <xdr:colOff>50715</xdr:colOff>
      <xdr:row>17</xdr:row>
      <xdr:rowOff>253062</xdr:rowOff>
    </xdr:to>
    <xdr:sp macro="" textlink="">
      <xdr:nvSpPr>
        <xdr:cNvPr id="44" name="Eckige Klammer rechts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 flipH="1">
          <a:off x="6557988" y="2348142"/>
          <a:ext cx="60902" cy="1042567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30</xdr:col>
      <xdr:colOff>282694</xdr:colOff>
      <xdr:row>5</xdr:row>
      <xdr:rowOff>15280</xdr:rowOff>
    </xdr:from>
    <xdr:to>
      <xdr:col>31</xdr:col>
      <xdr:colOff>58356</xdr:colOff>
      <xdr:row>6</xdr:row>
      <xdr:rowOff>251390</xdr:rowOff>
    </xdr:to>
    <xdr:sp macro="" textlink="">
      <xdr:nvSpPr>
        <xdr:cNvPr id="46" name="Eckige Klammer rechts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 flipH="1">
          <a:off x="6565629" y="748756"/>
          <a:ext cx="60902" cy="503523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31</xdr:col>
      <xdr:colOff>556192</xdr:colOff>
      <xdr:row>14</xdr:row>
      <xdr:rowOff>25343</xdr:rowOff>
    </xdr:from>
    <xdr:to>
      <xdr:col>32</xdr:col>
      <xdr:colOff>4772</xdr:colOff>
      <xdr:row>17</xdr:row>
      <xdr:rowOff>265671</xdr:rowOff>
    </xdr:to>
    <xdr:sp macro="" textlink="">
      <xdr:nvSpPr>
        <xdr:cNvPr id="91" name="Eckige Klammer rechts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6692724" y="2351875"/>
          <a:ext cx="40346" cy="1042860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31</xdr:col>
      <xdr:colOff>539494</xdr:colOff>
      <xdr:row>9</xdr:row>
      <xdr:rowOff>7128</xdr:rowOff>
    </xdr:from>
    <xdr:to>
      <xdr:col>31</xdr:col>
      <xdr:colOff>582157</xdr:colOff>
      <xdr:row>11</xdr:row>
      <xdr:rowOff>262784</xdr:rowOff>
    </xdr:to>
    <xdr:sp macro="" textlink="">
      <xdr:nvSpPr>
        <xdr:cNvPr id="92" name="Eckige Klammer rechts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6720891" y="1412887"/>
          <a:ext cx="42663" cy="794311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31</xdr:col>
      <xdr:colOff>548998</xdr:colOff>
      <xdr:row>5</xdr:row>
      <xdr:rowOff>11181</xdr:rowOff>
    </xdr:from>
    <xdr:to>
      <xdr:col>31</xdr:col>
      <xdr:colOff>590850</xdr:colOff>
      <xdr:row>6</xdr:row>
      <xdr:rowOff>247291</xdr:rowOff>
    </xdr:to>
    <xdr:sp macro="" textlink="">
      <xdr:nvSpPr>
        <xdr:cNvPr id="93" name="Eckige Klammer rechts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6730395" y="746905"/>
          <a:ext cx="41852" cy="505438"/>
        </a:xfrm>
        <a:prstGeom prst="rightBracket">
          <a:avLst>
            <a:gd name="adj" fmla="val 94555"/>
          </a:avLst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1.x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11" Type="http://schemas.openxmlformats.org/officeDocument/2006/relationships/control" Target="../activeX/activeX6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10" Type="http://schemas.openxmlformats.org/officeDocument/2006/relationships/image" Target="../media/image3.emf"/><Relationship Id="rId19" Type="http://schemas.openxmlformats.org/officeDocument/2006/relationships/control" Target="../activeX/activeX14.xml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Q180"/>
  <sheetViews>
    <sheetView tabSelected="1" zoomScale="130" zoomScaleNormal="130" workbookViewId="0">
      <pane ySplit="10" topLeftCell="A68" activePane="bottomLeft" state="frozen"/>
      <selection pane="bottomLeft" activeCell="A2" sqref="A2"/>
    </sheetView>
  </sheetViews>
  <sheetFormatPr baseColWidth="10" defaultRowHeight="14.25" x14ac:dyDescent="0.45"/>
  <cols>
    <col min="1" max="1" width="22" customWidth="1"/>
    <col min="9" max="9" width="14.3984375" customWidth="1"/>
    <col min="11" max="11" width="15.73046875" customWidth="1"/>
    <col min="12" max="12" width="15" customWidth="1"/>
  </cols>
  <sheetData>
    <row r="1" spans="1:16" ht="31.5" customHeight="1" x14ac:dyDescent="0.45">
      <c r="A1" t="s">
        <v>87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32</v>
      </c>
      <c r="I1" t="s">
        <v>33</v>
      </c>
      <c r="J1" t="s">
        <v>56</v>
      </c>
      <c r="K1" t="s">
        <v>57</v>
      </c>
      <c r="L1" t="s">
        <v>65</v>
      </c>
    </row>
    <row r="2" spans="1:16" x14ac:dyDescent="0.45">
      <c r="B2" s="1">
        <v>1</v>
      </c>
      <c r="C2" s="1">
        <v>4</v>
      </c>
      <c r="D2" s="1">
        <v>4</v>
      </c>
      <c r="E2" s="1">
        <v>4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4</v>
      </c>
    </row>
    <row r="3" spans="1:16" x14ac:dyDescent="0.45">
      <c r="C3">
        <v>4</v>
      </c>
      <c r="D3">
        <v>4</v>
      </c>
      <c r="E3">
        <v>4</v>
      </c>
      <c r="F3">
        <v>1</v>
      </c>
      <c r="G3">
        <v>1</v>
      </c>
      <c r="H3">
        <v>1</v>
      </c>
      <c r="I3">
        <v>5</v>
      </c>
      <c r="J3">
        <v>5</v>
      </c>
      <c r="K3">
        <v>2</v>
      </c>
      <c r="L3">
        <v>4</v>
      </c>
    </row>
    <row r="4" spans="1:16" x14ac:dyDescent="0.45">
      <c r="C4" s="2" t="s">
        <v>7</v>
      </c>
      <c r="D4" s="2" t="s">
        <v>7</v>
      </c>
      <c r="E4" s="2" t="s">
        <v>7</v>
      </c>
      <c r="F4" s="2" t="s">
        <v>7</v>
      </c>
      <c r="G4" s="2" t="s">
        <v>7</v>
      </c>
      <c r="H4" s="2" t="s">
        <v>7</v>
      </c>
      <c r="I4" s="2" t="s">
        <v>7</v>
      </c>
      <c r="J4" s="2" t="s">
        <v>7</v>
      </c>
      <c r="K4" s="2" t="s">
        <v>7</v>
      </c>
      <c r="L4" s="2" t="s">
        <v>7</v>
      </c>
    </row>
    <row r="5" spans="1:16" x14ac:dyDescent="0.45">
      <c r="C5" s="2"/>
      <c r="D5" s="2"/>
      <c r="E5" s="2"/>
      <c r="F5" s="2" t="s">
        <v>9</v>
      </c>
      <c r="G5" s="2" t="s">
        <v>9</v>
      </c>
      <c r="H5" s="2" t="s">
        <v>18</v>
      </c>
      <c r="I5" s="2" t="s">
        <v>29</v>
      </c>
      <c r="J5" s="2" t="s">
        <v>50</v>
      </c>
      <c r="K5" s="2" t="s">
        <v>62</v>
      </c>
      <c r="L5" s="2" t="s">
        <v>66</v>
      </c>
    </row>
    <row r="6" spans="1:16" x14ac:dyDescent="0.45">
      <c r="C6" s="2"/>
      <c r="D6" s="2"/>
      <c r="E6" s="2"/>
      <c r="F6" s="2" t="s">
        <v>8</v>
      </c>
      <c r="G6" s="2" t="s">
        <v>8</v>
      </c>
      <c r="H6" s="2" t="s">
        <v>19</v>
      </c>
      <c r="I6" s="2" t="s">
        <v>30</v>
      </c>
      <c r="J6" s="2" t="s">
        <v>51</v>
      </c>
      <c r="K6" s="2" t="s">
        <v>63</v>
      </c>
      <c r="L6" s="2" t="s">
        <v>67</v>
      </c>
    </row>
    <row r="7" spans="1:16" x14ac:dyDescent="0.45">
      <c r="H7" s="2" t="s">
        <v>20</v>
      </c>
      <c r="I7" s="2" t="s">
        <v>31</v>
      </c>
      <c r="J7" s="2" t="s">
        <v>52</v>
      </c>
      <c r="K7" s="2" t="s">
        <v>61</v>
      </c>
      <c r="L7" s="2" t="s">
        <v>68</v>
      </c>
    </row>
    <row r="8" spans="1:16" x14ac:dyDescent="0.45">
      <c r="H8" s="2"/>
      <c r="I8" s="2" t="s">
        <v>39</v>
      </c>
      <c r="J8" s="2" t="s">
        <v>53</v>
      </c>
      <c r="K8" s="2" t="s">
        <v>58</v>
      </c>
      <c r="L8" s="2" t="s">
        <v>69</v>
      </c>
    </row>
    <row r="9" spans="1:16" x14ac:dyDescent="0.45">
      <c r="H9" s="2"/>
      <c r="I9" s="2" t="s">
        <v>40</v>
      </c>
      <c r="J9" s="2" t="s">
        <v>54</v>
      </c>
      <c r="K9" s="2" t="s">
        <v>59</v>
      </c>
    </row>
    <row r="10" spans="1:16" x14ac:dyDescent="0.45">
      <c r="H10" s="2"/>
      <c r="I10" s="2" t="s">
        <v>41</v>
      </c>
      <c r="J10" s="2" t="s">
        <v>55</v>
      </c>
      <c r="K10" s="2" t="s">
        <v>60</v>
      </c>
    </row>
    <row r="13" spans="1:16" x14ac:dyDescent="0.45">
      <c r="C13">
        <v>1</v>
      </c>
      <c r="D13">
        <v>0</v>
      </c>
      <c r="E13">
        <v>0</v>
      </c>
      <c r="F13">
        <v>0</v>
      </c>
      <c r="H13">
        <v>12</v>
      </c>
      <c r="I13">
        <v>5</v>
      </c>
      <c r="J13">
        <v>5</v>
      </c>
      <c r="K13">
        <v>1</v>
      </c>
      <c r="M13">
        <v>12</v>
      </c>
      <c r="N13">
        <v>5</v>
      </c>
      <c r="O13">
        <v>5</v>
      </c>
      <c r="P13">
        <v>1</v>
      </c>
    </row>
    <row r="14" spans="1:16" x14ac:dyDescent="0.45">
      <c r="C14">
        <v>0</v>
      </c>
      <c r="D14">
        <v>1</v>
      </c>
      <c r="E14">
        <v>0</v>
      </c>
      <c r="F14">
        <v>0</v>
      </c>
      <c r="H14">
        <v>8</v>
      </c>
      <c r="I14">
        <v>4</v>
      </c>
      <c r="J14">
        <v>5</v>
      </c>
      <c r="K14">
        <v>1</v>
      </c>
      <c r="M14">
        <v>8</v>
      </c>
      <c r="N14">
        <v>4</v>
      </c>
      <c r="O14">
        <v>5</v>
      </c>
      <c r="P14">
        <v>1</v>
      </c>
    </row>
    <row r="15" spans="1:16" x14ac:dyDescent="0.45">
      <c r="C15">
        <v>0</v>
      </c>
      <c r="D15">
        <v>0</v>
      </c>
      <c r="E15">
        <v>1</v>
      </c>
      <c r="F15">
        <v>0</v>
      </c>
      <c r="H15">
        <v>5</v>
      </c>
      <c r="I15">
        <v>4</v>
      </c>
      <c r="J15">
        <v>10</v>
      </c>
      <c r="K15">
        <v>3</v>
      </c>
      <c r="M15">
        <v>5</v>
      </c>
      <c r="N15">
        <v>4</v>
      </c>
      <c r="O15">
        <v>10</v>
      </c>
      <c r="P15">
        <v>3</v>
      </c>
    </row>
    <row r="16" spans="1:16" x14ac:dyDescent="0.45">
      <c r="C16">
        <v>0</v>
      </c>
      <c r="D16">
        <v>0</v>
      </c>
      <c r="E16">
        <v>0</v>
      </c>
      <c r="F16">
        <v>1</v>
      </c>
      <c r="H16">
        <v>1</v>
      </c>
      <c r="I16">
        <v>1</v>
      </c>
      <c r="J16">
        <v>3</v>
      </c>
      <c r="K16">
        <v>1</v>
      </c>
      <c r="M16">
        <v>1</v>
      </c>
      <c r="N16">
        <v>1</v>
      </c>
      <c r="O16">
        <v>3</v>
      </c>
      <c r="P16">
        <v>1</v>
      </c>
    </row>
    <row r="18" spans="1:16" x14ac:dyDescent="0.45">
      <c r="C18">
        <v>1</v>
      </c>
      <c r="D18">
        <v>0</v>
      </c>
      <c r="E18">
        <v>0</v>
      </c>
      <c r="F18">
        <v>0</v>
      </c>
      <c r="H18">
        <v>1.0000000000000007</v>
      </c>
      <c r="I18">
        <v>-2.0000000000000036</v>
      </c>
      <c r="J18">
        <v>2.0000000000000102</v>
      </c>
      <c r="K18">
        <v>-5.0000000000000284</v>
      </c>
      <c r="M18">
        <v>1.0000000000000007</v>
      </c>
      <c r="N18">
        <v>-2.0000000000000036</v>
      </c>
      <c r="O18">
        <v>2.0000000000000102</v>
      </c>
      <c r="P18">
        <v>-5.0000000000000284</v>
      </c>
    </row>
    <row r="19" spans="1:16" x14ac:dyDescent="0.45">
      <c r="C19">
        <v>0</v>
      </c>
      <c r="D19">
        <v>1</v>
      </c>
      <c r="E19">
        <v>0</v>
      </c>
      <c r="F19">
        <v>0</v>
      </c>
      <c r="H19">
        <v>-3.0000000000000036</v>
      </c>
      <c r="I19">
        <v>7.0000000000000178</v>
      </c>
      <c r="J19">
        <v>-8.0000000000000426</v>
      </c>
      <c r="K19">
        <v>20.000000000000117</v>
      </c>
      <c r="M19">
        <v>-3.0000000000000036</v>
      </c>
      <c r="N19">
        <v>7.0000000000000178</v>
      </c>
      <c r="O19">
        <v>-8.0000000000000426</v>
      </c>
      <c r="P19">
        <v>20.000000000000117</v>
      </c>
    </row>
    <row r="20" spans="1:16" x14ac:dyDescent="0.45">
      <c r="C20">
        <v>0</v>
      </c>
      <c r="D20">
        <v>0</v>
      </c>
      <c r="E20">
        <v>1</v>
      </c>
      <c r="F20">
        <v>0</v>
      </c>
      <c r="H20">
        <v>1.0000000000000033</v>
      </c>
      <c r="I20">
        <v>-3.0000000000000138</v>
      </c>
      <c r="J20">
        <v>5.0000000000000293</v>
      </c>
      <c r="K20">
        <v>-13.000000000000078</v>
      </c>
      <c r="M20">
        <v>1.0000000000000033</v>
      </c>
      <c r="N20">
        <v>-3.0000000000000138</v>
      </c>
      <c r="O20">
        <v>5.0000000000000293</v>
      </c>
      <c r="P20">
        <v>-13.000000000000078</v>
      </c>
    </row>
    <row r="21" spans="1:16" x14ac:dyDescent="0.45">
      <c r="C21">
        <v>0</v>
      </c>
      <c r="D21">
        <v>0</v>
      </c>
      <c r="E21">
        <v>0</v>
      </c>
      <c r="F21">
        <v>1</v>
      </c>
      <c r="H21">
        <v>-1.0000000000000073</v>
      </c>
      <c r="I21">
        <v>4.0000000000000284</v>
      </c>
      <c r="J21">
        <v>-9.0000000000000568</v>
      </c>
      <c r="K21">
        <v>25.000000000000153</v>
      </c>
      <c r="M21">
        <v>-1.0000000000000073</v>
      </c>
      <c r="N21">
        <v>4.0000000000000284</v>
      </c>
      <c r="O21">
        <v>-9.0000000000000568</v>
      </c>
      <c r="P21">
        <v>25.000000000000153</v>
      </c>
    </row>
    <row r="23" spans="1:16" x14ac:dyDescent="0.45">
      <c r="A23" t="s">
        <v>23</v>
      </c>
    </row>
    <row r="24" spans="1:16" x14ac:dyDescent="0.45">
      <c r="A24" t="s">
        <v>24</v>
      </c>
    </row>
    <row r="25" spans="1:16" x14ac:dyDescent="0.45">
      <c r="A25" t="s">
        <v>25</v>
      </c>
    </row>
    <row r="28" spans="1:16" x14ac:dyDescent="0.45">
      <c r="A28" s="9" t="s">
        <v>21</v>
      </c>
      <c r="B28" t="s">
        <v>11</v>
      </c>
    </row>
    <row r="29" spans="1:16" x14ac:dyDescent="0.45">
      <c r="A29" s="8" t="s">
        <v>73</v>
      </c>
      <c r="B29" t="e">
        <f ca="1">placepic(1)</f>
        <v>#NAME?</v>
      </c>
    </row>
    <row r="30" spans="1:16" x14ac:dyDescent="0.45">
      <c r="A30" s="8"/>
      <c r="B30" t="s">
        <v>13</v>
      </c>
    </row>
    <row r="31" spans="1:16" x14ac:dyDescent="0.45">
      <c r="A31" s="8"/>
      <c r="B31" t="e">
        <f ca="1">placepic(2)</f>
        <v>#NAME?</v>
      </c>
    </row>
    <row r="32" spans="1:16" x14ac:dyDescent="0.45">
      <c r="A32" s="8"/>
      <c r="B32" t="s">
        <v>72</v>
      </c>
    </row>
    <row r="33" spans="1:2" x14ac:dyDescent="0.45">
      <c r="A33" s="8"/>
      <c r="B33" t="e">
        <f ca="1">Aufgabe1Anhang(1)</f>
        <v>#NAME?</v>
      </c>
    </row>
    <row r="34" spans="1:2" x14ac:dyDescent="0.45">
      <c r="A34" s="8"/>
      <c r="B34" t="e">
        <f ca="1">Aufgabe1Anhang(2)</f>
        <v>#NAME?</v>
      </c>
    </row>
    <row r="36" spans="1:2" x14ac:dyDescent="0.45">
      <c r="A36" s="9" t="s">
        <v>22</v>
      </c>
      <c r="B36" t="s">
        <v>10</v>
      </c>
    </row>
    <row r="37" spans="1:2" x14ac:dyDescent="0.45">
      <c r="A37" s="8" t="s">
        <v>74</v>
      </c>
      <c r="B37" t="e">
        <f ca="1">placepic(1)</f>
        <v>#NAME?</v>
      </c>
    </row>
    <row r="38" spans="1:2" x14ac:dyDescent="0.45">
      <c r="A38" s="8"/>
      <c r="B38" t="s">
        <v>48</v>
      </c>
    </row>
    <row r="39" spans="1:2" x14ac:dyDescent="0.45">
      <c r="A39" s="8"/>
      <c r="B39" t="e">
        <f ca="1">Aufgabe2Anhang()</f>
        <v>#NAME?</v>
      </c>
    </row>
    <row r="41" spans="1:2" x14ac:dyDescent="0.45">
      <c r="A41" s="9" t="s">
        <v>27</v>
      </c>
      <c r="B41" t="e">
        <f ca="1">Aufgabe3Text(1)</f>
        <v>#NAME?</v>
      </c>
    </row>
    <row r="42" spans="1:2" x14ac:dyDescent="0.45">
      <c r="A42" s="8"/>
      <c r="B42" t="e">
        <f ca="1">placepic(1)</f>
        <v>#NAME?</v>
      </c>
    </row>
    <row r="43" spans="1:2" x14ac:dyDescent="0.45">
      <c r="A43" s="8"/>
      <c r="B43" t="s">
        <v>13</v>
      </c>
    </row>
    <row r="44" spans="1:2" x14ac:dyDescent="0.45">
      <c r="A44" s="8"/>
      <c r="B44" t="e">
        <f ca="1">placepic(2)</f>
        <v>#NAME?</v>
      </c>
    </row>
    <row r="45" spans="1:2" x14ac:dyDescent="0.45">
      <c r="A45" s="8"/>
      <c r="B45" t="s">
        <v>26</v>
      </c>
    </row>
    <row r="46" spans="1:2" x14ac:dyDescent="0.45">
      <c r="A46" s="8"/>
      <c r="B46" t="e">
        <f ca="1">Aufgabe3Frage()</f>
        <v>#NAME?</v>
      </c>
    </row>
    <row r="47" spans="1:2" x14ac:dyDescent="0.45">
      <c r="A47" s="8"/>
      <c r="B47" t="e">
        <f ca="1">placepic(3)</f>
        <v>#NAME?</v>
      </c>
    </row>
    <row r="48" spans="1:2" x14ac:dyDescent="0.45">
      <c r="A48" s="8"/>
      <c r="B48" t="s">
        <v>26</v>
      </c>
    </row>
    <row r="49" spans="1:2" x14ac:dyDescent="0.45">
      <c r="A49" s="8"/>
      <c r="B49" t="e">
        <f ca="1">Aufgabe3Antwort(PMWahl)</f>
        <v>#NAME?</v>
      </c>
    </row>
    <row r="50" spans="1:2" x14ac:dyDescent="0.45">
      <c r="A50" s="8"/>
      <c r="B50" t="e">
        <f ca="1">Aufgabe3Anhang(1)</f>
        <v>#NAME?</v>
      </c>
    </row>
    <row r="51" spans="1:2" x14ac:dyDescent="0.45">
      <c r="A51" s="8"/>
      <c r="B51" t="e">
        <f ca="1">Aufgabe3Anhang(2)</f>
        <v>#NAME?</v>
      </c>
    </row>
    <row r="52" spans="1:2" x14ac:dyDescent="0.45">
      <c r="A52" s="8"/>
      <c r="B52" t="e">
        <f ca="1">Aufgabe3Anhang(3)</f>
        <v>#NAME?</v>
      </c>
    </row>
    <row r="54" spans="1:2" x14ac:dyDescent="0.45">
      <c r="A54" s="9" t="s">
        <v>34</v>
      </c>
      <c r="B54" t="e">
        <f ca="1">MehrProzesse3</f>
        <v>#NAME?</v>
      </c>
    </row>
    <row r="55" spans="1:2" x14ac:dyDescent="0.45">
      <c r="A55" s="8"/>
      <c r="B55" t="e">
        <f ca="1">placepic(1)</f>
        <v>#NAME?</v>
      </c>
    </row>
    <row r="56" spans="1:2" x14ac:dyDescent="0.45">
      <c r="A56" s="8"/>
      <c r="B56" t="s">
        <v>13</v>
      </c>
    </row>
    <row r="57" spans="1:2" x14ac:dyDescent="0.45">
      <c r="A57" s="8"/>
      <c r="B57" t="e">
        <f ca="1">placepic(2)</f>
        <v>#NAME?</v>
      </c>
    </row>
    <row r="58" spans="1:2" x14ac:dyDescent="0.45">
      <c r="A58" s="8"/>
      <c r="B58" t="s">
        <v>26</v>
      </c>
    </row>
    <row r="59" spans="1:2" x14ac:dyDescent="0.45">
      <c r="A59" s="8"/>
      <c r="B59" t="e">
        <f ca="1">Aufgabe4Frage(1)</f>
        <v>#NAME?</v>
      </c>
    </row>
    <row r="60" spans="1:2" x14ac:dyDescent="0.45">
      <c r="A60" s="8"/>
      <c r="B60" t="e">
        <f ca="1">Aufgabe4Antwort(1)</f>
        <v>#NAME?</v>
      </c>
    </row>
    <row r="61" spans="1:2" x14ac:dyDescent="0.45">
      <c r="A61" s="8"/>
      <c r="B61" t="e">
        <f ca="1">Aufgabe4Frage(2)</f>
        <v>#NAME?</v>
      </c>
    </row>
    <row r="62" spans="1:2" x14ac:dyDescent="0.45">
      <c r="A62" s="8"/>
      <c r="B62" t="e">
        <f ca="1">Aufgabe4Antwort(2)</f>
        <v>#NAME?</v>
      </c>
    </row>
    <row r="63" spans="1:2" x14ac:dyDescent="0.45">
      <c r="A63" s="8"/>
      <c r="B63" t="e">
        <f ca="1">Aufgabe4Frage(3)</f>
        <v>#NAME?</v>
      </c>
    </row>
    <row r="64" spans="1:2" x14ac:dyDescent="0.45">
      <c r="A64" s="8"/>
      <c r="B64" t="e">
        <f ca="1">Aufgabe4Antwort(3)</f>
        <v>#NAME?</v>
      </c>
    </row>
    <row r="65" spans="1:2" x14ac:dyDescent="0.45">
      <c r="A65" s="8"/>
      <c r="B65" t="e">
        <f ca="1">Aufgabe3Anhang(1)</f>
        <v>#NAME?</v>
      </c>
    </row>
    <row r="66" spans="1:2" x14ac:dyDescent="0.45">
      <c r="A66" s="8"/>
      <c r="B66" t="e">
        <f ca="1">Aufgabe3Anhang(2)</f>
        <v>#NAME?</v>
      </c>
    </row>
    <row r="68" spans="1:2" x14ac:dyDescent="0.45">
      <c r="A68" s="8" t="s">
        <v>35</v>
      </c>
      <c r="B68" t="e">
        <f ca="1">MehrProzesse3</f>
        <v>#NAME?</v>
      </c>
    </row>
    <row r="69" spans="1:2" x14ac:dyDescent="0.45">
      <c r="A69" s="8"/>
      <c r="B69" t="e">
        <f ca="1">placepic(1)</f>
        <v>#NAME?</v>
      </c>
    </row>
    <row r="70" spans="1:2" x14ac:dyDescent="0.45">
      <c r="A70" s="8"/>
      <c r="B70" t="s">
        <v>13</v>
      </c>
    </row>
    <row r="71" spans="1:2" x14ac:dyDescent="0.45">
      <c r="A71" s="8"/>
      <c r="B71" t="e">
        <f ca="1">placepic(2)</f>
        <v>#NAME?</v>
      </c>
    </row>
    <row r="72" spans="1:2" x14ac:dyDescent="0.45">
      <c r="A72" s="8"/>
      <c r="B72" t="e">
        <f ca="1">Aufgabe5Text(MErechWahl)</f>
        <v>#NAME?</v>
      </c>
    </row>
    <row r="73" spans="1:2" x14ac:dyDescent="0.45">
      <c r="A73" s="8"/>
      <c r="B73" t="s">
        <v>26</v>
      </c>
    </row>
    <row r="74" spans="1:2" x14ac:dyDescent="0.45">
      <c r="A74" s="8"/>
      <c r="B74" t="e">
        <f ca="1">Aufgabe5Frage(MErechWahl)</f>
        <v>#NAME?</v>
      </c>
    </row>
    <row r="75" spans="1:2" x14ac:dyDescent="0.45">
      <c r="A75" s="8"/>
      <c r="B75" t="e">
        <f ca="1">Aufgabe5Antwort(MErechWahl)</f>
        <v>#NAME?</v>
      </c>
    </row>
    <row r="76" spans="1:2" x14ac:dyDescent="0.45">
      <c r="A76" s="8"/>
      <c r="B76" t="e">
        <f ca="1">Aufgabe3Anhang(1)</f>
        <v>#NAME?</v>
      </c>
    </row>
    <row r="77" spans="1:2" x14ac:dyDescent="0.45">
      <c r="A77" s="8"/>
      <c r="B77" t="e">
        <f ca="1">Aufgabe3Anhang(2)</f>
        <v>#NAME?</v>
      </c>
    </row>
    <row r="79" spans="1:2" x14ac:dyDescent="0.45">
      <c r="A79" s="9" t="s">
        <v>44</v>
      </c>
      <c r="B79" t="e">
        <f ca="1">MehrProzesse3</f>
        <v>#NAME?</v>
      </c>
    </row>
    <row r="80" spans="1:2" x14ac:dyDescent="0.45">
      <c r="A80" s="8"/>
      <c r="B80" t="e">
        <f ca="1">placepic(1)</f>
        <v>#NAME?</v>
      </c>
    </row>
    <row r="81" spans="1:2" x14ac:dyDescent="0.45">
      <c r="A81" s="8"/>
      <c r="B81" t="s">
        <v>13</v>
      </c>
    </row>
    <row r="82" spans="1:2" x14ac:dyDescent="0.45">
      <c r="A82" s="8"/>
      <c r="B82" t="e">
        <f ca="1">placepic(2)</f>
        <v>#NAME?</v>
      </c>
    </row>
    <row r="83" spans="1:2" x14ac:dyDescent="0.45">
      <c r="A83" s="8"/>
      <c r="B83" t="e">
        <f ca="1">Aufgabe6Text(TRUE,TRUE,FALSE,FALSE)</f>
        <v>#NAME?</v>
      </c>
    </row>
    <row r="84" spans="1:2" x14ac:dyDescent="0.45">
      <c r="A84" s="8"/>
      <c r="B84" t="s">
        <v>26</v>
      </c>
    </row>
    <row r="85" spans="1:2" x14ac:dyDescent="0.45">
      <c r="A85" s="8"/>
      <c r="B85" t="s">
        <v>36</v>
      </c>
    </row>
    <row r="86" spans="1:2" x14ac:dyDescent="0.45">
      <c r="A86" s="8"/>
      <c r="B86" t="e">
        <f ca="1">Aufgabe6Frage(1)</f>
        <v>#NAME?</v>
      </c>
    </row>
    <row r="87" spans="1:2" x14ac:dyDescent="0.45">
      <c r="A87" s="8"/>
      <c r="B87" t="e">
        <f ca="1">Aufgabe6Antwort(1)</f>
        <v>#NAME?</v>
      </c>
    </row>
    <row r="88" spans="1:2" x14ac:dyDescent="0.45">
      <c r="A88" s="8"/>
      <c r="B88" t="s">
        <v>37</v>
      </c>
    </row>
    <row r="89" spans="1:2" x14ac:dyDescent="0.45">
      <c r="A89" s="8"/>
      <c r="B89" t="e">
        <f ca="1">Aufgabe6Frage(2)</f>
        <v>#NAME?</v>
      </c>
    </row>
    <row r="90" spans="1:2" x14ac:dyDescent="0.45">
      <c r="A90" s="8"/>
      <c r="B90" t="e">
        <f ca="1">Aufgabe6Antwort(2)</f>
        <v>#NAME?</v>
      </c>
    </row>
    <row r="91" spans="1:2" x14ac:dyDescent="0.45">
      <c r="A91" s="8"/>
      <c r="B91" t="s">
        <v>38</v>
      </c>
    </row>
    <row r="92" spans="1:2" x14ac:dyDescent="0.45">
      <c r="A92" s="8"/>
      <c r="B92" t="e">
        <f ca="1">Aufgabe6Frage(3)</f>
        <v>#NAME?</v>
      </c>
    </row>
    <row r="93" spans="1:2" x14ac:dyDescent="0.45">
      <c r="A93" s="8"/>
      <c r="B93" t="e">
        <f ca="1">Aufgabe6Antwort(3)</f>
        <v>#NAME?</v>
      </c>
    </row>
    <row r="94" spans="1:2" x14ac:dyDescent="0.45">
      <c r="A94" s="8"/>
      <c r="B94" t="e">
        <f ca="1">Aufgabe3Anhang(1)</f>
        <v>#NAME?</v>
      </c>
    </row>
    <row r="95" spans="1:2" x14ac:dyDescent="0.45">
      <c r="A95" s="8"/>
      <c r="B95" t="e">
        <f ca="1">Aufgabe3Anhang(2)</f>
        <v>#NAME?</v>
      </c>
    </row>
    <row r="97" spans="1:2" x14ac:dyDescent="0.45">
      <c r="A97" s="9" t="s">
        <v>43</v>
      </c>
      <c r="B97" t="e">
        <f ca="1">MehrProzesse3</f>
        <v>#NAME?</v>
      </c>
    </row>
    <row r="98" spans="1:2" x14ac:dyDescent="0.45">
      <c r="A98" s="8"/>
      <c r="B98" t="e">
        <f ca="1">placepic(1)</f>
        <v>#NAME?</v>
      </c>
    </row>
    <row r="99" spans="1:2" x14ac:dyDescent="0.45">
      <c r="A99" s="8"/>
      <c r="B99" t="s">
        <v>13</v>
      </c>
    </row>
    <row r="100" spans="1:2" x14ac:dyDescent="0.45">
      <c r="A100" s="8"/>
      <c r="B100" t="e">
        <f ca="1">placepic(2)</f>
        <v>#NAME?</v>
      </c>
    </row>
    <row r="101" spans="1:2" x14ac:dyDescent="0.45">
      <c r="A101" s="8"/>
      <c r="B101" t="e">
        <f ca="1">Aufgabe7Text(FALSE,TRUE,FALSE,FALSE)</f>
        <v>#NAME?</v>
      </c>
    </row>
    <row r="102" spans="1:2" x14ac:dyDescent="0.45">
      <c r="A102" s="8"/>
      <c r="B102" t="s">
        <v>26</v>
      </c>
    </row>
    <row r="103" spans="1:2" x14ac:dyDescent="0.45">
      <c r="A103" s="8"/>
      <c r="B103" t="e">
        <f ca="1">Aufgabe7Frage()</f>
        <v>#NAME?</v>
      </c>
    </row>
    <row r="104" spans="1:2" x14ac:dyDescent="0.45">
      <c r="A104" s="8"/>
      <c r="B104" t="e">
        <f ca="1">Aufgabe7Antwort()</f>
        <v>#NAME?</v>
      </c>
    </row>
    <row r="105" spans="1:2" x14ac:dyDescent="0.45">
      <c r="A105" s="8"/>
      <c r="B105" t="e">
        <f ca="1">Aufgabe3Anhang(1)</f>
        <v>#NAME?</v>
      </c>
    </row>
    <row r="106" spans="1:2" x14ac:dyDescent="0.45">
      <c r="A106" s="8"/>
      <c r="B106" t="e">
        <f ca="1">Aufgabe3Anhang(2)</f>
        <v>#NAME?</v>
      </c>
    </row>
    <row r="109" spans="1:2" x14ac:dyDescent="0.45">
      <c r="A109" s="9" t="s">
        <v>42</v>
      </c>
      <c r="B109" t="e">
        <f ca="1">MehrProzesse3</f>
        <v>#NAME?</v>
      </c>
    </row>
    <row r="110" spans="1:2" x14ac:dyDescent="0.45">
      <c r="A110" s="8"/>
      <c r="B110" t="e">
        <f ca="1">placepic(1)</f>
        <v>#NAME?</v>
      </c>
    </row>
    <row r="111" spans="1:2" x14ac:dyDescent="0.45">
      <c r="A111" s="8"/>
      <c r="B111" t="s">
        <v>13</v>
      </c>
    </row>
    <row r="112" spans="1:2" x14ac:dyDescent="0.45">
      <c r="A112" s="8"/>
      <c r="B112" t="e">
        <f ca="1">placepic(2)</f>
        <v>#NAME?</v>
      </c>
    </row>
    <row r="113" spans="1:2" x14ac:dyDescent="0.45">
      <c r="A113" s="8"/>
      <c r="B113" t="e">
        <f ca="1">Aufgabe8Text(TRUE,TRUE,TRUE,FALSE)</f>
        <v>#NAME?</v>
      </c>
    </row>
    <row r="114" spans="1:2" x14ac:dyDescent="0.45">
      <c r="A114" s="8"/>
      <c r="B114" t="s">
        <v>26</v>
      </c>
    </row>
    <row r="115" spans="1:2" x14ac:dyDescent="0.45">
      <c r="A115" s="8"/>
      <c r="B115" t="e">
        <f ca="1">Aufgabe8Frage()</f>
        <v>#NAME?</v>
      </c>
    </row>
    <row r="116" spans="1:2" x14ac:dyDescent="0.45">
      <c r="A116" s="8"/>
      <c r="B116" t="e">
        <f ca="1">Aufgabe8Antwort()</f>
        <v>#NAME?</v>
      </c>
    </row>
    <row r="117" spans="1:2" x14ac:dyDescent="0.45">
      <c r="A117" s="8"/>
      <c r="B117" t="e">
        <f ca="1">Aufgabe3Anhang(1)</f>
        <v>#NAME?</v>
      </c>
    </row>
    <row r="118" spans="1:2" x14ac:dyDescent="0.45">
      <c r="A118" s="8"/>
      <c r="B118" t="e">
        <f ca="1">Aufgabe3Anhang(2)</f>
        <v>#NAME?</v>
      </c>
    </row>
    <row r="120" spans="1:2" x14ac:dyDescent="0.45">
      <c r="A120" s="8" t="s">
        <v>45</v>
      </c>
      <c r="B120" t="e">
        <f ca="1">Aufgabe3Text(0)</f>
        <v>#NAME?</v>
      </c>
    </row>
    <row r="121" spans="1:2" x14ac:dyDescent="0.45">
      <c r="A121" s="8"/>
      <c r="B121" t="e">
        <f ca="1">Aufgabe6Text(TRUE,FALSE,FALSE,TRUE)</f>
        <v>#NAME?</v>
      </c>
    </row>
    <row r="122" spans="1:2" x14ac:dyDescent="0.45">
      <c r="A122" s="8"/>
      <c r="B122" t="e">
        <f ca="1">Aufgabe9Frage()</f>
        <v>#NAME?</v>
      </c>
    </row>
    <row r="123" spans="1:2" x14ac:dyDescent="0.45">
      <c r="A123" s="8"/>
      <c r="B123" t="e">
        <f ca="1">Aufgabe9Antwort()</f>
        <v>#NAME?</v>
      </c>
    </row>
    <row r="125" spans="1:2" x14ac:dyDescent="0.45">
      <c r="A125" s="8" t="s">
        <v>46</v>
      </c>
      <c r="B125" t="e">
        <f ca="1">MehrProzesse3</f>
        <v>#NAME?</v>
      </c>
    </row>
    <row r="126" spans="1:2" x14ac:dyDescent="0.45">
      <c r="A126" s="8"/>
      <c r="B126" t="e">
        <f ca="1">placepic(1)</f>
        <v>#NAME?</v>
      </c>
    </row>
    <row r="127" spans="1:2" x14ac:dyDescent="0.45">
      <c r="A127" s="8"/>
      <c r="B127" t="s">
        <v>13</v>
      </c>
    </row>
    <row r="128" spans="1:2" x14ac:dyDescent="0.45">
      <c r="A128" s="8"/>
      <c r="B128" t="e">
        <f ca="1">placepic(2)</f>
        <v>#NAME?</v>
      </c>
    </row>
    <row r="129" spans="1:2" x14ac:dyDescent="0.45">
      <c r="A129" s="8"/>
      <c r="B129" t="e">
        <f ca="1">Aufgabe6Text(TRUE,TRUE,FALSE,TRUE)</f>
        <v>#NAME?</v>
      </c>
    </row>
    <row r="130" spans="1:2" x14ac:dyDescent="0.45">
      <c r="A130" s="8"/>
      <c r="B130" t="s">
        <v>26</v>
      </c>
    </row>
    <row r="131" spans="1:2" x14ac:dyDescent="0.45">
      <c r="A131" s="8"/>
      <c r="B131" t="e">
        <f ca="1">Aufgabe10Frage(1)</f>
        <v>#NAME?</v>
      </c>
    </row>
    <row r="132" spans="1:2" x14ac:dyDescent="0.45">
      <c r="A132" s="8"/>
      <c r="B132" t="e">
        <f ca="1">Aufgabe10Frage(2)</f>
        <v>#NAME?</v>
      </c>
    </row>
    <row r="133" spans="1:2" x14ac:dyDescent="0.45">
      <c r="A133" s="8"/>
      <c r="B133" t="e">
        <f ca="1">Aufgabe10Antwort(2)</f>
        <v>#NAME?</v>
      </c>
    </row>
    <row r="134" spans="1:2" x14ac:dyDescent="0.45">
      <c r="A134" s="8"/>
      <c r="B134" t="e">
        <f ca="1">Aufgabe10Frage(3)</f>
        <v>#NAME?</v>
      </c>
    </row>
    <row r="135" spans="1:2" x14ac:dyDescent="0.45">
      <c r="A135" s="8"/>
      <c r="B135" t="e">
        <f ca="1">Aufgabe10Antwort(3)</f>
        <v>#NAME?</v>
      </c>
    </row>
    <row r="136" spans="1:2" x14ac:dyDescent="0.45">
      <c r="A136" s="8"/>
      <c r="B136" t="e">
        <f ca="1">Aufgabe3Anhang(1)</f>
        <v>#NAME?</v>
      </c>
    </row>
    <row r="137" spans="1:2" x14ac:dyDescent="0.45">
      <c r="A137" s="8"/>
      <c r="B137" t="e">
        <f ca="1">Aufgabe3Anhang(2)</f>
        <v>#NAME?</v>
      </c>
    </row>
    <row r="139" spans="1:2" x14ac:dyDescent="0.45">
      <c r="A139" s="8" t="s">
        <v>47</v>
      </c>
      <c r="B139" t="e">
        <f ca="1">MehrProzesse3</f>
        <v>#NAME?</v>
      </c>
    </row>
    <row r="140" spans="1:2" x14ac:dyDescent="0.45">
      <c r="A140" s="8"/>
      <c r="B140" t="e">
        <f ca="1">placepic(1)</f>
        <v>#NAME?</v>
      </c>
    </row>
    <row r="141" spans="1:2" x14ac:dyDescent="0.45">
      <c r="A141" s="8"/>
      <c r="B141" t="s">
        <v>13</v>
      </c>
    </row>
    <row r="142" spans="1:2" x14ac:dyDescent="0.45">
      <c r="A142" s="8"/>
      <c r="B142" t="e">
        <f ca="1">placepic(2)</f>
        <v>#NAME?</v>
      </c>
    </row>
    <row r="143" spans="1:2" x14ac:dyDescent="0.45">
      <c r="A143" s="8"/>
      <c r="B143" t="e">
        <f ca="1">Aufgabe6Text(TRUE,TRUE,TRUE,TRUE)</f>
        <v>#NAME?</v>
      </c>
    </row>
    <row r="144" spans="1:2" x14ac:dyDescent="0.45">
      <c r="A144" s="8"/>
      <c r="B144" t="s">
        <v>26</v>
      </c>
    </row>
    <row r="145" spans="1:2" x14ac:dyDescent="0.45">
      <c r="A145" s="8"/>
      <c r="B145" t="e">
        <f ca="1">Aufgabe11Frage()</f>
        <v>#NAME?</v>
      </c>
    </row>
    <row r="146" spans="1:2" x14ac:dyDescent="0.45">
      <c r="A146" s="8"/>
      <c r="B146" t="e">
        <f ca="1">Aufgabe11Antwort()</f>
        <v>#NAME?</v>
      </c>
    </row>
    <row r="147" spans="1:2" x14ac:dyDescent="0.45">
      <c r="A147" s="8"/>
      <c r="B147" t="e">
        <f ca="1">Aufgabe3Anhang(1)</f>
        <v>#NAME?</v>
      </c>
    </row>
    <row r="148" spans="1:2" x14ac:dyDescent="0.45">
      <c r="A148" s="8"/>
      <c r="B148" t="e">
        <f ca="1">Aufgabe3Anhang(2)</f>
        <v>#NAME?</v>
      </c>
    </row>
    <row r="150" spans="1:2" x14ac:dyDescent="0.45">
      <c r="A150" s="9" t="s">
        <v>70</v>
      </c>
      <c r="B150" t="e">
        <f ca="1">Aufgabe12Text(0)</f>
        <v>#NAME?</v>
      </c>
    </row>
    <row r="151" spans="1:2" x14ac:dyDescent="0.45">
      <c r="A151" s="8"/>
      <c r="B151" t="e">
        <f ca="1">placepic(1)</f>
        <v>#NAME?</v>
      </c>
    </row>
    <row r="152" spans="1:2" x14ac:dyDescent="0.45">
      <c r="A152" s="8"/>
      <c r="B152" t="e">
        <f ca="1">Aufgabe12Text(MehrDWahl)</f>
        <v>#NAME?</v>
      </c>
    </row>
    <row r="153" spans="1:2" x14ac:dyDescent="0.45">
      <c r="A153" s="8"/>
      <c r="B153" t="e">
        <f ca="1">Aufgabe12Frage(MehrDWahl)</f>
        <v>#NAME?</v>
      </c>
    </row>
    <row r="154" spans="1:2" x14ac:dyDescent="0.45">
      <c r="A154" s="8"/>
      <c r="B154" t="e">
        <f ca="1">Aufgabe12Antwort(MehrDWahl)</f>
        <v>#NAME?</v>
      </c>
    </row>
    <row r="155" spans="1:2" x14ac:dyDescent="0.45">
      <c r="A155" s="8"/>
      <c r="B155" t="e">
        <f ca="1">Aufgabe12Anhang()</f>
        <v>#NAME?</v>
      </c>
    </row>
    <row r="157" spans="1:2" x14ac:dyDescent="0.45">
      <c r="A157" s="9" t="s">
        <v>71</v>
      </c>
      <c r="B157" t="e">
        <f ca="1">MehrProzesse12</f>
        <v>#NAME?</v>
      </c>
    </row>
    <row r="158" spans="1:2" x14ac:dyDescent="0.45">
      <c r="A158" s="8"/>
      <c r="B158" t="e">
        <f ca="1">placepic(1)</f>
        <v>#NAME?</v>
      </c>
    </row>
    <row r="159" spans="1:2" x14ac:dyDescent="0.45">
      <c r="A159" s="8"/>
      <c r="B159" t="e">
        <f ca="1">Aufgabe13Text(BestTWahl)</f>
        <v>#NAME?</v>
      </c>
    </row>
    <row r="160" spans="1:2" x14ac:dyDescent="0.45">
      <c r="A160" s="8"/>
      <c r="B160" t="e">
        <f ca="1">Aufgabe13Frage(BestTWahl)</f>
        <v>#NAME?</v>
      </c>
    </row>
    <row r="161" spans="1:17" x14ac:dyDescent="0.45">
      <c r="A161" s="8"/>
      <c r="B161" t="e">
        <f ca="1">Aufgabe13Antwort(BestTWahl)</f>
        <v>#NAME?</v>
      </c>
    </row>
    <row r="162" spans="1:17" x14ac:dyDescent="0.45">
      <c r="A162" s="8"/>
      <c r="B162" t="e">
        <f ca="1">Aufgabe12Anhang()</f>
        <v>#NAME?</v>
      </c>
    </row>
    <row r="164" spans="1:17" x14ac:dyDescent="0.45">
      <c r="A164" s="9" t="s">
        <v>64</v>
      </c>
      <c r="B164" t="e">
        <f ca="1">Aufgabe14Text(EinMissWahl)</f>
        <v>#NAME?</v>
      </c>
    </row>
    <row r="165" spans="1:17" x14ac:dyDescent="0.45">
      <c r="A165" s="8"/>
      <c r="B165" t="e">
        <f ca="1">Aufgabe14Aufgabe(EinMissWahl)</f>
        <v>#NAME?</v>
      </c>
    </row>
    <row r="166" spans="1:17" x14ac:dyDescent="0.45">
      <c r="A166" s="8"/>
      <c r="B166" t="e">
        <f ca="1">Aufgabe14Antwort(EinMissWahl)</f>
        <v>#NAME?</v>
      </c>
    </row>
    <row r="169" spans="1:17" x14ac:dyDescent="0.45">
      <c r="Q169" t="e">
        <f ca="1">Aufgabe12Frage(1)</f>
        <v>#NAME?</v>
      </c>
    </row>
    <row r="170" spans="1:17" x14ac:dyDescent="0.45">
      <c r="Q170" t="e">
        <f ca="1">Aufgabe12Antwort(1)</f>
        <v>#NAME?</v>
      </c>
    </row>
    <row r="171" spans="1:17" x14ac:dyDescent="0.45">
      <c r="Q171" t="e">
        <f ca="1">Aufgabe12Frage(2)</f>
        <v>#NAME?</v>
      </c>
    </row>
    <row r="172" spans="1:17" x14ac:dyDescent="0.45">
      <c r="Q172" t="e">
        <f ca="1">Aufgabe12Antwort(2)</f>
        <v>#NAME?</v>
      </c>
    </row>
    <row r="173" spans="1:17" x14ac:dyDescent="0.45">
      <c r="Q173" t="e">
        <f ca="1">Aufgabe12Frage(3)</f>
        <v>#NAME?</v>
      </c>
    </row>
    <row r="174" spans="1:17" x14ac:dyDescent="0.45">
      <c r="Q174" t="e">
        <f ca="1">Aufgabe12Antwort(3)</f>
        <v>#NAME?</v>
      </c>
    </row>
    <row r="175" spans="1:17" x14ac:dyDescent="0.45">
      <c r="Q175" t="e">
        <f ca="1">Aufgabe12Frage(4)</f>
        <v>#NAME?</v>
      </c>
    </row>
    <row r="176" spans="1:17" x14ac:dyDescent="0.45">
      <c r="Q176" t="e">
        <f ca="1">Aufgabe12Antwort(4)</f>
        <v>#NAME?</v>
      </c>
    </row>
    <row r="177" spans="17:17" x14ac:dyDescent="0.45">
      <c r="Q177" t="e">
        <f ca="1">Aufgabe12Frage(5)</f>
        <v>#NAME?</v>
      </c>
    </row>
    <row r="178" spans="17:17" x14ac:dyDescent="0.45">
      <c r="Q178" t="e">
        <f ca="1">Aufgabe12Antwort(5)</f>
        <v>#NAME?</v>
      </c>
    </row>
    <row r="179" spans="17:17" x14ac:dyDescent="0.45">
      <c r="Q179" t="e">
        <f ca="1">Aufgabe12Frage(6)</f>
        <v>#NAME?</v>
      </c>
    </row>
    <row r="180" spans="17:17" x14ac:dyDescent="0.45">
      <c r="Q180" t="e">
        <f ca="1">Aufgabe12Antwort(6)</f>
        <v>#NAME?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3" r:id="rId3" name="CommandButton13">
          <controlPr defaultSize="0" autoLine="0" r:id="rId4">
            <anchor moveWithCells="1">
              <from>
                <xdr:col>0</xdr:col>
                <xdr:colOff>409575</xdr:colOff>
                <xdr:row>149</xdr:row>
                <xdr:rowOff>114300</xdr:rowOff>
              </from>
              <to>
                <xdr:col>0</xdr:col>
                <xdr:colOff>1257300</xdr:colOff>
                <xdr:row>152</xdr:row>
                <xdr:rowOff>9525</xdr:rowOff>
              </to>
            </anchor>
          </controlPr>
        </control>
      </mc:Choice>
      <mc:Fallback>
        <control shapeId="2063" r:id="rId3" name="CommandButton13"/>
      </mc:Fallback>
    </mc:AlternateContent>
    <mc:AlternateContent xmlns:mc="http://schemas.openxmlformats.org/markup-compatibility/2006">
      <mc:Choice Requires="x14">
        <control shapeId="2062" r:id="rId5" name="CommandButton12">
          <controlPr defaultSize="0" autoLine="0" r:id="rId4">
            <anchor moveWithCells="1">
              <from>
                <xdr:col>0</xdr:col>
                <xdr:colOff>200025</xdr:colOff>
                <xdr:row>140</xdr:row>
                <xdr:rowOff>0</xdr:rowOff>
              </from>
              <to>
                <xdr:col>0</xdr:col>
                <xdr:colOff>1047750</xdr:colOff>
                <xdr:row>142</xdr:row>
                <xdr:rowOff>76200</xdr:rowOff>
              </to>
            </anchor>
          </controlPr>
        </control>
      </mc:Choice>
      <mc:Fallback>
        <control shapeId="2062" r:id="rId5" name="CommandButton12"/>
      </mc:Fallback>
    </mc:AlternateContent>
    <mc:AlternateContent xmlns:mc="http://schemas.openxmlformats.org/markup-compatibility/2006">
      <mc:Choice Requires="x14">
        <control shapeId="2061" r:id="rId6" name="CommandButton11">
          <controlPr defaultSize="0" autoLine="0" r:id="rId4">
            <anchor moveWithCells="1">
              <from>
                <xdr:col>0</xdr:col>
                <xdr:colOff>247650</xdr:colOff>
                <xdr:row>126</xdr:row>
                <xdr:rowOff>66675</xdr:rowOff>
              </from>
              <to>
                <xdr:col>0</xdr:col>
                <xdr:colOff>1095375</xdr:colOff>
                <xdr:row>128</xdr:row>
                <xdr:rowOff>142875</xdr:rowOff>
              </to>
            </anchor>
          </controlPr>
        </control>
      </mc:Choice>
      <mc:Fallback>
        <control shapeId="2061" r:id="rId6" name="CommandButton11"/>
      </mc:Fallback>
    </mc:AlternateContent>
    <mc:AlternateContent xmlns:mc="http://schemas.openxmlformats.org/markup-compatibility/2006">
      <mc:Choice Requires="x14">
        <control shapeId="2053" r:id="rId7" name="CommandButton3">
          <controlPr defaultSize="0" autoLine="0" r:id="rId8">
            <anchor moveWithCells="1">
              <from>
                <xdr:col>0</xdr:col>
                <xdr:colOff>304800</xdr:colOff>
                <xdr:row>35</xdr:row>
                <xdr:rowOff>142875</xdr:rowOff>
              </from>
              <to>
                <xdr:col>0</xdr:col>
                <xdr:colOff>1152525</xdr:colOff>
                <xdr:row>38</xdr:row>
                <xdr:rowOff>19050</xdr:rowOff>
              </to>
            </anchor>
          </controlPr>
        </control>
      </mc:Choice>
      <mc:Fallback>
        <control shapeId="2053" r:id="rId7" name="CommandButton3"/>
      </mc:Fallback>
    </mc:AlternateContent>
    <mc:AlternateContent xmlns:mc="http://schemas.openxmlformats.org/markup-compatibility/2006">
      <mc:Choice Requires="x14">
        <control shapeId="2052" r:id="rId9" name="CommandButton2">
          <controlPr defaultSize="0" autoLine="0" r:id="rId10">
            <anchor moveWithCells="1">
              <from>
                <xdr:col>0</xdr:col>
                <xdr:colOff>114300</xdr:colOff>
                <xdr:row>29</xdr:row>
                <xdr:rowOff>104775</xdr:rowOff>
              </from>
              <to>
                <xdr:col>0</xdr:col>
                <xdr:colOff>1019175</xdr:colOff>
                <xdr:row>32</xdr:row>
                <xdr:rowOff>85725</xdr:rowOff>
              </to>
            </anchor>
          </controlPr>
        </control>
      </mc:Choice>
      <mc:Fallback>
        <control shapeId="2052" r:id="rId9" name="CommandButton2"/>
      </mc:Fallback>
    </mc:AlternateContent>
    <mc:AlternateContent xmlns:mc="http://schemas.openxmlformats.org/markup-compatibility/2006">
      <mc:Choice Requires="x14">
        <control shapeId="2054" r:id="rId11" name="CommandButton4">
          <controlPr defaultSize="0" autoLine="0" r:id="rId8">
            <anchor moveWithCells="1">
              <from>
                <xdr:col>0</xdr:col>
                <xdr:colOff>190500</xdr:colOff>
                <xdr:row>42</xdr:row>
                <xdr:rowOff>0</xdr:rowOff>
              </from>
              <to>
                <xdr:col>0</xdr:col>
                <xdr:colOff>1038225</xdr:colOff>
                <xdr:row>44</xdr:row>
                <xdr:rowOff>57150</xdr:rowOff>
              </to>
            </anchor>
          </controlPr>
        </control>
      </mc:Choice>
      <mc:Fallback>
        <control shapeId="2054" r:id="rId11" name="CommandButton4"/>
      </mc:Fallback>
    </mc:AlternateContent>
    <mc:AlternateContent xmlns:mc="http://schemas.openxmlformats.org/markup-compatibility/2006">
      <mc:Choice Requires="x14">
        <control shapeId="2055" r:id="rId12" name="CommandButton5">
          <controlPr defaultSize="0" autoLine="0" r:id="rId8">
            <anchor moveWithCells="1">
              <from>
                <xdr:col>0</xdr:col>
                <xdr:colOff>257175</xdr:colOff>
                <xdr:row>54</xdr:row>
                <xdr:rowOff>0</xdr:rowOff>
              </from>
              <to>
                <xdr:col>0</xdr:col>
                <xdr:colOff>1104900</xdr:colOff>
                <xdr:row>56</xdr:row>
                <xdr:rowOff>57150</xdr:rowOff>
              </to>
            </anchor>
          </controlPr>
        </control>
      </mc:Choice>
      <mc:Fallback>
        <control shapeId="2055" r:id="rId12" name="CommandButton5"/>
      </mc:Fallback>
    </mc:AlternateContent>
    <mc:AlternateContent xmlns:mc="http://schemas.openxmlformats.org/markup-compatibility/2006">
      <mc:Choice Requires="x14">
        <control shapeId="2056" r:id="rId13" name="CommandButton6">
          <controlPr defaultSize="0" autoLine="0" r:id="rId8">
            <anchor moveWithCells="1">
              <from>
                <xdr:col>0</xdr:col>
                <xdr:colOff>95250</xdr:colOff>
                <xdr:row>68</xdr:row>
                <xdr:rowOff>133350</xdr:rowOff>
              </from>
              <to>
                <xdr:col>0</xdr:col>
                <xdr:colOff>942975</xdr:colOff>
                <xdr:row>71</xdr:row>
                <xdr:rowOff>9525</xdr:rowOff>
              </to>
            </anchor>
          </controlPr>
        </control>
      </mc:Choice>
      <mc:Fallback>
        <control shapeId="2056" r:id="rId13" name="CommandButton6"/>
      </mc:Fallback>
    </mc:AlternateContent>
    <mc:AlternateContent xmlns:mc="http://schemas.openxmlformats.org/markup-compatibility/2006">
      <mc:Choice Requires="x14">
        <control shapeId="2057" r:id="rId14" name="CommandButton7">
          <controlPr defaultSize="0" autoLine="0" r:id="rId8">
            <anchor moveWithCells="1">
              <from>
                <xdr:col>0</xdr:col>
                <xdr:colOff>123825</xdr:colOff>
                <xdr:row>79</xdr:row>
                <xdr:rowOff>152400</xdr:rowOff>
              </from>
              <to>
                <xdr:col>0</xdr:col>
                <xdr:colOff>971550</xdr:colOff>
                <xdr:row>82</xdr:row>
                <xdr:rowOff>28575</xdr:rowOff>
              </to>
            </anchor>
          </controlPr>
        </control>
      </mc:Choice>
      <mc:Fallback>
        <control shapeId="2057" r:id="rId14" name="CommandButton7"/>
      </mc:Fallback>
    </mc:AlternateContent>
    <mc:AlternateContent xmlns:mc="http://schemas.openxmlformats.org/markup-compatibility/2006">
      <mc:Choice Requires="x14">
        <control shapeId="2058" r:id="rId15" name="CommandButton8">
          <controlPr defaultSize="0" autoLine="0" r:id="rId4">
            <anchor moveWithCells="1">
              <from>
                <xdr:col>0</xdr:col>
                <xdr:colOff>133350</xdr:colOff>
                <xdr:row>99</xdr:row>
                <xdr:rowOff>19050</xdr:rowOff>
              </from>
              <to>
                <xdr:col>0</xdr:col>
                <xdr:colOff>981075</xdr:colOff>
                <xdr:row>101</xdr:row>
                <xdr:rowOff>95250</xdr:rowOff>
              </to>
            </anchor>
          </controlPr>
        </control>
      </mc:Choice>
      <mc:Fallback>
        <control shapeId="2058" r:id="rId15" name="CommandButton8"/>
      </mc:Fallback>
    </mc:AlternateContent>
    <mc:AlternateContent xmlns:mc="http://schemas.openxmlformats.org/markup-compatibility/2006">
      <mc:Choice Requires="x14">
        <control shapeId="2059" r:id="rId16" name="CommandButton9">
          <controlPr defaultSize="0" autoLine="0" r:id="rId4">
            <anchor moveWithCells="1">
              <from>
                <xdr:col>0</xdr:col>
                <xdr:colOff>104775</xdr:colOff>
                <xdr:row>110</xdr:row>
                <xdr:rowOff>85725</xdr:rowOff>
              </from>
              <to>
                <xdr:col>0</xdr:col>
                <xdr:colOff>952500</xdr:colOff>
                <xdr:row>112</xdr:row>
                <xdr:rowOff>161925</xdr:rowOff>
              </to>
            </anchor>
          </controlPr>
        </control>
      </mc:Choice>
      <mc:Fallback>
        <control shapeId="2059" r:id="rId16" name="CommandButton9"/>
      </mc:Fallback>
    </mc:AlternateContent>
    <mc:AlternateContent xmlns:mc="http://schemas.openxmlformats.org/markup-compatibility/2006">
      <mc:Choice Requires="x14">
        <control shapeId="2060" r:id="rId17" name="CommandButton10">
          <controlPr defaultSize="0" autoLine="0" r:id="rId4">
            <anchor moveWithCells="1">
              <from>
                <xdr:col>0</xdr:col>
                <xdr:colOff>361950</xdr:colOff>
                <xdr:row>119</xdr:row>
                <xdr:rowOff>142875</xdr:rowOff>
              </from>
              <to>
                <xdr:col>0</xdr:col>
                <xdr:colOff>1209675</xdr:colOff>
                <xdr:row>122</xdr:row>
                <xdr:rowOff>38100</xdr:rowOff>
              </to>
            </anchor>
          </controlPr>
        </control>
      </mc:Choice>
      <mc:Fallback>
        <control shapeId="2060" r:id="rId17" name="CommandButton10"/>
      </mc:Fallback>
    </mc:AlternateContent>
    <mc:AlternateContent xmlns:mc="http://schemas.openxmlformats.org/markup-compatibility/2006">
      <mc:Choice Requires="x14">
        <control shapeId="2064" r:id="rId18" name="CommandButton14">
          <controlPr defaultSize="0" autoLine="0" r:id="rId4">
            <anchor moveWithCells="1">
              <from>
                <xdr:col>0</xdr:col>
                <xdr:colOff>457200</xdr:colOff>
                <xdr:row>157</xdr:row>
                <xdr:rowOff>133350</xdr:rowOff>
              </from>
              <to>
                <xdr:col>0</xdr:col>
                <xdr:colOff>1304925</xdr:colOff>
                <xdr:row>160</xdr:row>
                <xdr:rowOff>28575</xdr:rowOff>
              </to>
            </anchor>
          </controlPr>
        </control>
      </mc:Choice>
      <mc:Fallback>
        <control shapeId="2064" r:id="rId18" name="CommandButton14"/>
      </mc:Fallback>
    </mc:AlternateContent>
    <mc:AlternateContent xmlns:mc="http://schemas.openxmlformats.org/markup-compatibility/2006">
      <mc:Choice Requires="x14">
        <control shapeId="2065" r:id="rId19" name="CommandButton15">
          <controlPr defaultSize="0" autoLine="0" r:id="rId4">
            <anchor moveWithCells="1">
              <from>
                <xdr:col>0</xdr:col>
                <xdr:colOff>361950</xdr:colOff>
                <xdr:row>163</xdr:row>
                <xdr:rowOff>47625</xdr:rowOff>
              </from>
              <to>
                <xdr:col>0</xdr:col>
                <xdr:colOff>1209675</xdr:colOff>
                <xdr:row>165</xdr:row>
                <xdr:rowOff>123825</xdr:rowOff>
              </to>
            </anchor>
          </controlPr>
        </control>
      </mc:Choice>
      <mc:Fallback>
        <control shapeId="2065" r:id="rId19" name="CommandButton1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B2:AG19"/>
  <sheetViews>
    <sheetView topLeftCell="A2" zoomScale="130" zoomScaleNormal="130" workbookViewId="0">
      <selection activeCell="AL12" sqref="AL12"/>
    </sheetView>
  </sheetViews>
  <sheetFormatPr baseColWidth="10" defaultColWidth="4" defaultRowHeight="21" customHeight="1" x14ac:dyDescent="0.45"/>
  <cols>
    <col min="2" max="2" width="1" customWidth="1"/>
    <col min="3" max="3" width="2.73046875" customWidth="1"/>
    <col min="6" max="7" width="1" customWidth="1"/>
    <col min="8" max="8" width="2.73046875" customWidth="1"/>
    <col min="12" max="13" width="1" customWidth="1"/>
    <col min="14" max="14" width="2.86328125" customWidth="1"/>
    <col min="19" max="20" width="1" customWidth="1"/>
    <col min="21" max="21" width="2.73046875" customWidth="1"/>
    <col min="27" max="27" width="1" customWidth="1"/>
    <col min="29" max="29" width="1" customWidth="1"/>
    <col min="32" max="32" width="8.86328125" customWidth="1"/>
    <col min="33" max="33" width="1" customWidth="1"/>
  </cols>
  <sheetData>
    <row r="2" spans="2:33" ht="5.45" customHeight="1" x14ac:dyDescent="0.4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C2" s="3"/>
      <c r="AD2" s="3"/>
      <c r="AE2" s="3"/>
      <c r="AF2" s="3"/>
      <c r="AG2" s="3"/>
    </row>
    <row r="3" spans="2:33" ht="21" customHeight="1" x14ac:dyDescent="0.45">
      <c r="B3" s="3"/>
      <c r="C3" s="6" t="s">
        <v>16</v>
      </c>
      <c r="D3" s="7" t="s">
        <v>0</v>
      </c>
      <c r="E3" s="5">
        <v>3</v>
      </c>
      <c r="F3" s="3"/>
      <c r="G3" s="3"/>
      <c r="H3" s="6" t="s">
        <v>16</v>
      </c>
      <c r="I3" s="7" t="s">
        <v>0</v>
      </c>
      <c r="J3" s="5">
        <v>2</v>
      </c>
      <c r="K3" s="5">
        <v>3</v>
      </c>
      <c r="L3" s="3"/>
      <c r="M3" s="3"/>
      <c r="N3" s="6" t="s">
        <v>16</v>
      </c>
      <c r="O3" s="7" t="s">
        <v>0</v>
      </c>
      <c r="P3" s="5">
        <v>-4</v>
      </c>
      <c r="Q3" s="5">
        <v>4</v>
      </c>
      <c r="R3" s="5">
        <v>66</v>
      </c>
      <c r="S3" s="3"/>
      <c r="T3" s="3"/>
      <c r="U3" s="6" t="s">
        <v>16</v>
      </c>
      <c r="V3" s="7" t="s">
        <v>0</v>
      </c>
      <c r="W3" s="5">
        <v>-88</v>
      </c>
      <c r="X3" s="5">
        <v>4</v>
      </c>
      <c r="Y3" s="5">
        <v>5</v>
      </c>
      <c r="Z3" s="5">
        <v>3</v>
      </c>
      <c r="AA3" s="3"/>
      <c r="AC3" s="3"/>
      <c r="AD3" s="3"/>
      <c r="AE3" s="3"/>
      <c r="AF3" s="3"/>
      <c r="AG3" s="3"/>
    </row>
    <row r="4" spans="2:33" ht="5.25" customHeight="1" x14ac:dyDescent="0.4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C4" s="3"/>
      <c r="AD4" s="3"/>
      <c r="AE4" s="3"/>
      <c r="AF4" s="3"/>
      <c r="AG4" s="3"/>
    </row>
    <row r="5" spans="2:33" ht="5.25" customHeight="1" x14ac:dyDescent="0.4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C5" s="3"/>
      <c r="AD5" s="3"/>
      <c r="AE5" s="3"/>
      <c r="AF5" s="3"/>
      <c r="AG5" s="3"/>
    </row>
    <row r="6" spans="2:33" ht="21" customHeight="1" x14ac:dyDescent="0.45">
      <c r="B6" s="3"/>
      <c r="C6" s="11" t="s">
        <v>15</v>
      </c>
      <c r="D6" s="12" t="s">
        <v>0</v>
      </c>
      <c r="E6" s="5">
        <v>55</v>
      </c>
      <c r="F6" s="3"/>
      <c r="G6" s="3"/>
      <c r="H6" s="11" t="s">
        <v>28</v>
      </c>
      <c r="I6" s="12" t="s">
        <v>0</v>
      </c>
      <c r="J6" s="5">
        <v>49</v>
      </c>
      <c r="K6" s="5">
        <v>15</v>
      </c>
      <c r="L6" s="5"/>
      <c r="M6" s="3"/>
      <c r="N6" s="11" t="s">
        <v>28</v>
      </c>
      <c r="O6" s="12" t="s">
        <v>0</v>
      </c>
      <c r="P6" s="5">
        <v>10</v>
      </c>
      <c r="Q6" s="5">
        <v>9</v>
      </c>
      <c r="R6" s="5">
        <v>3</v>
      </c>
      <c r="S6" s="5"/>
      <c r="T6" s="3"/>
      <c r="U6" s="10" t="s">
        <v>28</v>
      </c>
      <c r="V6" s="12" t="s">
        <v>0</v>
      </c>
      <c r="W6" s="5" t="s">
        <v>75</v>
      </c>
      <c r="X6" s="5" t="s">
        <v>76</v>
      </c>
      <c r="Y6" s="5" t="s">
        <v>77</v>
      </c>
      <c r="Z6" s="5" t="s">
        <v>78</v>
      </c>
      <c r="AA6" s="3"/>
      <c r="AC6" s="3"/>
      <c r="AD6" s="10" t="s">
        <v>49</v>
      </c>
      <c r="AE6" s="12" t="s">
        <v>0</v>
      </c>
      <c r="AF6" s="5"/>
      <c r="AG6" s="3"/>
    </row>
    <row r="7" spans="2:33" ht="21" customHeight="1" x14ac:dyDescent="0.45">
      <c r="B7" s="3"/>
      <c r="C7" s="11"/>
      <c r="D7" s="13"/>
      <c r="E7" s="5">
        <v>22</v>
      </c>
      <c r="F7" s="3"/>
      <c r="G7" s="3"/>
      <c r="H7" s="11"/>
      <c r="I7" s="13"/>
      <c r="J7" s="5">
        <v>13</v>
      </c>
      <c r="K7" s="5">
        <v>4</v>
      </c>
      <c r="L7" s="5"/>
      <c r="M7" s="3"/>
      <c r="N7" s="11"/>
      <c r="O7" s="13"/>
      <c r="P7" s="5">
        <v>41</v>
      </c>
      <c r="Q7" s="5">
        <v>35</v>
      </c>
      <c r="R7" s="5">
        <v>25</v>
      </c>
      <c r="S7" s="5"/>
      <c r="T7" s="3"/>
      <c r="U7" s="11"/>
      <c r="V7" s="13"/>
      <c r="W7" s="5" t="s">
        <v>79</v>
      </c>
      <c r="X7" s="5" t="s">
        <v>80</v>
      </c>
      <c r="Y7" s="5" t="s">
        <v>81</v>
      </c>
      <c r="Z7" s="5" t="s">
        <v>82</v>
      </c>
      <c r="AA7" s="3"/>
      <c r="AC7" s="3"/>
      <c r="AD7" s="11"/>
      <c r="AE7" s="13"/>
      <c r="AF7" s="5"/>
      <c r="AG7" s="3"/>
    </row>
    <row r="8" spans="2:33" ht="5.45" customHeight="1" x14ac:dyDescent="0.45">
      <c r="B8" s="3"/>
      <c r="C8" s="3"/>
      <c r="D8" s="3"/>
      <c r="E8" s="3"/>
      <c r="F8" s="3"/>
      <c r="G8" s="3"/>
      <c r="H8" s="6"/>
      <c r="I8" s="5"/>
      <c r="J8" s="5"/>
      <c r="K8" s="5"/>
      <c r="L8" s="5"/>
      <c r="M8" s="3"/>
      <c r="N8" s="6"/>
      <c r="O8" s="5"/>
      <c r="P8" s="5"/>
      <c r="Q8" s="5"/>
      <c r="R8" s="5"/>
      <c r="S8" s="5"/>
      <c r="T8" s="3"/>
      <c r="U8" s="6"/>
      <c r="V8" s="5"/>
      <c r="W8" s="5"/>
      <c r="X8" s="5"/>
      <c r="Y8" s="5"/>
      <c r="Z8" s="5"/>
      <c r="AA8" s="3"/>
      <c r="AC8" s="3"/>
      <c r="AD8" s="3"/>
      <c r="AE8" s="3"/>
      <c r="AF8" s="3"/>
      <c r="AG8" s="3"/>
    </row>
    <row r="9" spans="2:33" ht="5.45" customHeight="1" x14ac:dyDescent="0.4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4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C9" s="3"/>
      <c r="AD9" s="3"/>
      <c r="AE9" s="3"/>
      <c r="AF9" s="3"/>
      <c r="AG9" s="3"/>
    </row>
    <row r="10" spans="2:33" ht="21" customHeight="1" x14ac:dyDescent="0.45">
      <c r="B10" s="3"/>
      <c r="C10" s="11" t="s">
        <v>17</v>
      </c>
      <c r="D10" s="13" t="s">
        <v>0</v>
      </c>
      <c r="E10" s="5">
        <v>-4</v>
      </c>
      <c r="F10" s="3"/>
      <c r="G10" s="3"/>
      <c r="H10" s="11" t="s">
        <v>28</v>
      </c>
      <c r="I10" s="13" t="s">
        <v>0</v>
      </c>
      <c r="J10" s="5">
        <v>5</v>
      </c>
      <c r="K10" s="5">
        <v>13</v>
      </c>
      <c r="L10" s="5"/>
      <c r="M10" s="3"/>
      <c r="N10" s="11" t="s">
        <v>28</v>
      </c>
      <c r="O10" s="13" t="s">
        <v>0</v>
      </c>
      <c r="P10" s="5">
        <v>13</v>
      </c>
      <c r="Q10" s="5">
        <v>28</v>
      </c>
      <c r="R10" s="5">
        <v>2</v>
      </c>
      <c r="S10" s="5"/>
      <c r="T10" s="3"/>
      <c r="U10" s="11" t="s">
        <v>28</v>
      </c>
      <c r="V10" s="13" t="s">
        <v>0</v>
      </c>
      <c r="W10" s="5">
        <v>39</v>
      </c>
      <c r="X10" s="5">
        <v>47</v>
      </c>
      <c r="Y10" s="5">
        <v>25</v>
      </c>
      <c r="Z10" s="5">
        <v>30</v>
      </c>
      <c r="AA10" s="3"/>
      <c r="AC10" s="3"/>
      <c r="AD10" s="3"/>
      <c r="AE10" s="3"/>
      <c r="AF10" s="5"/>
      <c r="AG10" s="3"/>
    </row>
    <row r="11" spans="2:33" ht="21" customHeight="1" x14ac:dyDescent="0.45">
      <c r="B11" s="3"/>
      <c r="C11" s="11"/>
      <c r="D11" s="13"/>
      <c r="E11" s="5">
        <v>2</v>
      </c>
      <c r="F11" s="3"/>
      <c r="G11" s="3"/>
      <c r="H11" s="11"/>
      <c r="I11" s="13"/>
      <c r="J11" s="5">
        <v>22</v>
      </c>
      <c r="K11" s="5">
        <v>55</v>
      </c>
      <c r="L11" s="5"/>
      <c r="M11" s="3"/>
      <c r="N11" s="11"/>
      <c r="O11" s="13"/>
      <c r="P11" s="5">
        <v>29</v>
      </c>
      <c r="Q11" s="5">
        <v>63</v>
      </c>
      <c r="R11" s="5">
        <v>4</v>
      </c>
      <c r="S11" s="5"/>
      <c r="T11" s="3"/>
      <c r="U11" s="11"/>
      <c r="V11" s="13"/>
      <c r="W11" s="5">
        <v>64</v>
      </c>
      <c r="X11" s="5">
        <v>78</v>
      </c>
      <c r="Y11" s="5">
        <v>52</v>
      </c>
      <c r="Z11" s="5">
        <v>39</v>
      </c>
      <c r="AA11" s="3"/>
      <c r="AC11" s="3"/>
      <c r="AD11" s="6" t="s">
        <v>49</v>
      </c>
      <c r="AE11" s="5" t="s">
        <v>0</v>
      </c>
      <c r="AF11" s="5"/>
      <c r="AG11" s="3"/>
    </row>
    <row r="12" spans="2:33" ht="21" customHeight="1" x14ac:dyDescent="0.45">
      <c r="B12" s="3"/>
      <c r="C12" s="11"/>
      <c r="D12" s="13"/>
      <c r="E12" s="5">
        <v>0</v>
      </c>
      <c r="F12" s="3"/>
      <c r="G12" s="3"/>
      <c r="H12" s="11"/>
      <c r="I12" s="13"/>
      <c r="J12" s="5">
        <v>6</v>
      </c>
      <c r="K12" s="5">
        <v>15</v>
      </c>
      <c r="L12" s="5"/>
      <c r="M12" s="3"/>
      <c r="N12" s="11"/>
      <c r="O12" s="13"/>
      <c r="P12" s="5">
        <v>35</v>
      </c>
      <c r="Q12" s="5">
        <v>76</v>
      </c>
      <c r="R12" s="5">
        <v>5</v>
      </c>
      <c r="S12" s="5"/>
      <c r="T12" s="3"/>
      <c r="U12" s="11"/>
      <c r="V12" s="13"/>
      <c r="W12" s="5">
        <v>15</v>
      </c>
      <c r="X12" s="5">
        <v>19</v>
      </c>
      <c r="Y12" s="5">
        <v>14</v>
      </c>
      <c r="Z12" s="5">
        <v>8</v>
      </c>
      <c r="AA12" s="3"/>
      <c r="AC12" s="3"/>
      <c r="AD12" s="3"/>
      <c r="AE12" s="3"/>
      <c r="AF12" s="5"/>
      <c r="AG12" s="3"/>
    </row>
    <row r="13" spans="2:33" ht="5.45" customHeight="1" x14ac:dyDescent="0.45">
      <c r="B13" s="3"/>
      <c r="C13" s="3"/>
      <c r="D13" s="3"/>
      <c r="E13" s="3"/>
      <c r="F13" s="3"/>
      <c r="G13" s="3"/>
      <c r="H13" s="6"/>
      <c r="I13" s="5"/>
      <c r="J13" s="5"/>
      <c r="K13" s="5"/>
      <c r="L13" s="5"/>
      <c r="M13" s="3"/>
      <c r="N13" s="6"/>
      <c r="O13" s="5"/>
      <c r="P13" s="5"/>
      <c r="Q13" s="5"/>
      <c r="R13" s="5"/>
      <c r="S13" s="5"/>
      <c r="T13" s="3"/>
      <c r="U13" s="6"/>
      <c r="V13" s="5"/>
      <c r="W13" s="5"/>
      <c r="X13" s="5"/>
      <c r="Y13" s="5"/>
      <c r="Z13" s="5"/>
      <c r="AA13" s="3"/>
      <c r="AC13" s="3"/>
      <c r="AD13" s="3"/>
      <c r="AE13" s="3"/>
      <c r="AF13" s="3"/>
      <c r="AG13" s="3"/>
    </row>
    <row r="14" spans="2:33" ht="5.45" customHeight="1" x14ac:dyDescent="0.45">
      <c r="B14" s="3"/>
      <c r="C14" s="3"/>
      <c r="D14" s="3"/>
      <c r="E14" s="3"/>
      <c r="F14" s="3"/>
      <c r="G14" s="3"/>
      <c r="H14" s="3"/>
      <c r="I14" s="5"/>
      <c r="J14" s="3"/>
      <c r="K14" s="3"/>
      <c r="L14" s="3"/>
      <c r="M14" s="3"/>
      <c r="N14" s="4"/>
      <c r="O14" s="5"/>
      <c r="P14" s="3"/>
      <c r="Q14" s="3"/>
      <c r="R14" s="3"/>
      <c r="S14" s="3"/>
      <c r="T14" s="3" t="s">
        <v>12</v>
      </c>
      <c r="U14" s="3"/>
      <c r="V14" s="5"/>
      <c r="W14" s="3"/>
      <c r="X14" s="3"/>
      <c r="Y14" s="3"/>
      <c r="Z14" s="3"/>
      <c r="AA14" s="3"/>
      <c r="AC14" s="3"/>
      <c r="AD14" s="3"/>
      <c r="AE14" s="3"/>
      <c r="AF14" s="3"/>
      <c r="AG14" s="3"/>
    </row>
    <row r="15" spans="2:33" ht="21" customHeight="1" x14ac:dyDescent="0.45">
      <c r="B15" s="3"/>
      <c r="C15" s="11" t="s">
        <v>14</v>
      </c>
      <c r="D15" s="13" t="s">
        <v>0</v>
      </c>
      <c r="E15" s="5">
        <v>-88</v>
      </c>
      <c r="F15" s="3"/>
      <c r="G15" s="3"/>
      <c r="H15" s="11" t="s">
        <v>28</v>
      </c>
      <c r="I15" s="13" t="s">
        <v>0</v>
      </c>
      <c r="J15" s="5">
        <v>9</v>
      </c>
      <c r="K15" s="5">
        <v>31</v>
      </c>
      <c r="L15" s="5"/>
      <c r="M15" s="3"/>
      <c r="N15" s="11" t="s">
        <v>28</v>
      </c>
      <c r="O15" s="13" t="s">
        <v>0</v>
      </c>
      <c r="P15" s="5">
        <v>58</v>
      </c>
      <c r="Q15" s="5">
        <v>26</v>
      </c>
      <c r="R15" s="5">
        <v>22</v>
      </c>
      <c r="S15" s="5"/>
      <c r="T15" s="3"/>
      <c r="U15" s="11" t="s">
        <v>17</v>
      </c>
      <c r="V15" s="13" t="s">
        <v>0</v>
      </c>
      <c r="W15" s="5">
        <v>12</v>
      </c>
      <c r="X15" s="5">
        <v>5</v>
      </c>
      <c r="Y15" s="5">
        <v>5</v>
      </c>
      <c r="Z15" s="5">
        <v>1</v>
      </c>
      <c r="AA15" s="3"/>
      <c r="AC15" s="3"/>
      <c r="AD15" s="11" t="s">
        <v>49</v>
      </c>
      <c r="AE15" s="12" t="s">
        <v>0</v>
      </c>
      <c r="AF15" s="5" t="s">
        <v>84</v>
      </c>
      <c r="AG15" s="3"/>
    </row>
    <row r="16" spans="2:33" ht="21" customHeight="1" x14ac:dyDescent="0.45">
      <c r="B16" s="3"/>
      <c r="C16" s="11"/>
      <c r="D16" s="13"/>
      <c r="E16" s="5">
        <v>43</v>
      </c>
      <c r="F16" s="3"/>
      <c r="G16" s="3"/>
      <c r="H16" s="11"/>
      <c r="I16" s="13"/>
      <c r="J16" s="5">
        <v>13</v>
      </c>
      <c r="K16" s="5">
        <v>46</v>
      </c>
      <c r="L16" s="5"/>
      <c r="M16" s="3"/>
      <c r="N16" s="11"/>
      <c r="O16" s="13"/>
      <c r="P16" s="5">
        <v>88</v>
      </c>
      <c r="Q16" s="5">
        <v>46</v>
      </c>
      <c r="R16" s="5">
        <v>36</v>
      </c>
      <c r="S16" s="5"/>
      <c r="T16" s="3"/>
      <c r="U16" s="11"/>
      <c r="V16" s="13"/>
      <c r="W16" s="5">
        <v>8</v>
      </c>
      <c r="X16" s="5">
        <v>4</v>
      </c>
      <c r="Y16" s="5">
        <v>5</v>
      </c>
      <c r="Z16" s="5">
        <v>1</v>
      </c>
      <c r="AA16" s="3"/>
      <c r="AC16" s="3"/>
      <c r="AD16" s="11"/>
      <c r="AE16" s="13"/>
      <c r="AF16" s="5" t="s">
        <v>85</v>
      </c>
      <c r="AG16" s="3"/>
    </row>
    <row r="17" spans="2:33" ht="21" customHeight="1" x14ac:dyDescent="0.45">
      <c r="B17" s="3"/>
      <c r="C17" s="11"/>
      <c r="D17" s="13"/>
      <c r="E17" s="5">
        <v>1</v>
      </c>
      <c r="F17" s="3"/>
      <c r="G17" s="3"/>
      <c r="H17" s="11"/>
      <c r="I17" s="13"/>
      <c r="J17" s="5">
        <v>8</v>
      </c>
      <c r="K17" s="5">
        <v>30</v>
      </c>
      <c r="L17" s="5"/>
      <c r="M17" s="3"/>
      <c r="N17" s="11"/>
      <c r="O17" s="13"/>
      <c r="P17" s="5">
        <v>60</v>
      </c>
      <c r="Q17" s="5">
        <v>29</v>
      </c>
      <c r="R17" s="5">
        <v>23</v>
      </c>
      <c r="S17" s="5"/>
      <c r="T17" s="3"/>
      <c r="U17" s="11"/>
      <c r="V17" s="13"/>
      <c r="W17" s="5">
        <v>5</v>
      </c>
      <c r="X17" s="5">
        <v>4</v>
      </c>
      <c r="Y17" s="5">
        <v>10</v>
      </c>
      <c r="Z17" s="5">
        <v>3</v>
      </c>
      <c r="AA17" s="3"/>
      <c r="AC17" s="3"/>
      <c r="AD17" s="11"/>
      <c r="AE17" s="13"/>
      <c r="AF17" s="5" t="s">
        <v>83</v>
      </c>
      <c r="AG17" s="3"/>
    </row>
    <row r="18" spans="2:33" ht="21" customHeight="1" x14ac:dyDescent="0.45">
      <c r="B18" s="3"/>
      <c r="C18" s="11"/>
      <c r="D18" s="13"/>
      <c r="E18" s="5">
        <v>-2</v>
      </c>
      <c r="F18" s="3"/>
      <c r="G18" s="3"/>
      <c r="H18" s="11"/>
      <c r="I18" s="13"/>
      <c r="J18" s="5">
        <v>10</v>
      </c>
      <c r="K18" s="5">
        <v>37</v>
      </c>
      <c r="L18" s="5"/>
      <c r="M18" s="3"/>
      <c r="N18" s="11"/>
      <c r="O18" s="13"/>
      <c r="P18" s="5">
        <v>23</v>
      </c>
      <c r="Q18" s="5">
        <v>12</v>
      </c>
      <c r="R18" s="5">
        <v>9</v>
      </c>
      <c r="S18" s="5"/>
      <c r="T18" s="3"/>
      <c r="U18" s="11"/>
      <c r="V18" s="13"/>
      <c r="W18" s="5">
        <v>1</v>
      </c>
      <c r="X18" s="5">
        <v>1</v>
      </c>
      <c r="Y18" s="5">
        <v>3</v>
      </c>
      <c r="Z18" s="5">
        <v>1</v>
      </c>
      <c r="AA18" s="3"/>
      <c r="AC18" s="3"/>
      <c r="AD18" s="11"/>
      <c r="AE18" s="13"/>
      <c r="AF18" s="7" t="s">
        <v>86</v>
      </c>
      <c r="AG18" s="3"/>
    </row>
    <row r="19" spans="2:33" ht="5.45" customHeight="1" x14ac:dyDescent="0.4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C19" s="3"/>
      <c r="AD19" s="3"/>
      <c r="AE19" s="3"/>
      <c r="AF19" s="3"/>
      <c r="AG19" s="3"/>
    </row>
  </sheetData>
  <mergeCells count="28">
    <mergeCell ref="N6:N7"/>
    <mergeCell ref="O6:O7"/>
    <mergeCell ref="V6:V7"/>
    <mergeCell ref="U6:U7"/>
    <mergeCell ref="V10:V12"/>
    <mergeCell ref="U10:U12"/>
    <mergeCell ref="I10:I12"/>
    <mergeCell ref="H10:H12"/>
    <mergeCell ref="O10:O12"/>
    <mergeCell ref="N10:N12"/>
    <mergeCell ref="V15:V18"/>
    <mergeCell ref="U15:U18"/>
    <mergeCell ref="AD6:AD7"/>
    <mergeCell ref="AD15:AD18"/>
    <mergeCell ref="AE6:AE7"/>
    <mergeCell ref="AE15:AE18"/>
    <mergeCell ref="C6:C7"/>
    <mergeCell ref="C10:C12"/>
    <mergeCell ref="C15:C18"/>
    <mergeCell ref="D6:D7"/>
    <mergeCell ref="D10:D12"/>
    <mergeCell ref="D15:D18"/>
    <mergeCell ref="I15:I18"/>
    <mergeCell ref="H15:H18"/>
    <mergeCell ref="O15:O18"/>
    <mergeCell ref="N15:N18"/>
    <mergeCell ref="I6:I7"/>
    <mergeCell ref="H6:H7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95</vt:i4>
      </vt:variant>
    </vt:vector>
  </HeadingPairs>
  <TitlesOfParts>
    <vt:vector size="97" baseType="lpstr">
      <vt:lpstr>MehrProzesse</vt:lpstr>
      <vt:lpstr>Tabelle1</vt:lpstr>
      <vt:lpstr>BestTSet</vt:lpstr>
      <vt:lpstr>BestTWahl</vt:lpstr>
      <vt:lpstr>EinMissSet</vt:lpstr>
      <vt:lpstr>EinMissWahl</vt:lpstr>
      <vt:lpstr>Elemente11</vt:lpstr>
      <vt:lpstr>Elemente12</vt:lpstr>
      <vt:lpstr>Elemente13</vt:lpstr>
      <vt:lpstr>Elemente14</vt:lpstr>
      <vt:lpstr>Elemente21</vt:lpstr>
      <vt:lpstr>Elemente22</vt:lpstr>
      <vt:lpstr>Elemente23</vt:lpstr>
      <vt:lpstr>Elemente24</vt:lpstr>
      <vt:lpstr>Elemente31</vt:lpstr>
      <vt:lpstr>Elemente32</vt:lpstr>
      <vt:lpstr>Elemente33</vt:lpstr>
      <vt:lpstr>Elemente34</vt:lpstr>
      <vt:lpstr>Elemente41</vt:lpstr>
      <vt:lpstr>Elemente42</vt:lpstr>
      <vt:lpstr>Elemente43</vt:lpstr>
      <vt:lpstr>Elemente44</vt:lpstr>
      <vt:lpstr>ElementeMehr2</vt:lpstr>
      <vt:lpstr>ElementeMehr3</vt:lpstr>
      <vt:lpstr>ElementeMehr4</vt:lpstr>
      <vt:lpstr>EndSet</vt:lpstr>
      <vt:lpstr>EndWahl</vt:lpstr>
      <vt:lpstr>Inverse</vt:lpstr>
      <vt:lpstr>Matrix11</vt:lpstr>
      <vt:lpstr>Matrix12</vt:lpstr>
      <vt:lpstr>Matrix13</vt:lpstr>
      <vt:lpstr>Matrix14</vt:lpstr>
      <vt:lpstr>Matrix21</vt:lpstr>
      <vt:lpstr>Matrix22</vt:lpstr>
      <vt:lpstr>Matrix23</vt:lpstr>
      <vt:lpstr>Matrix24</vt:lpstr>
      <vt:lpstr>Matrix31</vt:lpstr>
      <vt:lpstr>Matrix32</vt:lpstr>
      <vt:lpstr>Matrix33</vt:lpstr>
      <vt:lpstr>Matrix34</vt:lpstr>
      <vt:lpstr>Matrix41</vt:lpstr>
      <vt:lpstr>Matrix42</vt:lpstr>
      <vt:lpstr>Matrix43</vt:lpstr>
      <vt:lpstr>Matrix44</vt:lpstr>
      <vt:lpstr>MatrixMehr2</vt:lpstr>
      <vt:lpstr>MatrixMehr3</vt:lpstr>
      <vt:lpstr>MatrixMehr4</vt:lpstr>
      <vt:lpstr>MehrDSet</vt:lpstr>
      <vt:lpstr>MehrDWahl</vt:lpstr>
      <vt:lpstr>MehrProzesse1</vt:lpstr>
      <vt:lpstr>MehrProzesse10</vt:lpstr>
      <vt:lpstr>MehrProzesse11</vt:lpstr>
      <vt:lpstr>MehrProzesse12</vt:lpstr>
      <vt:lpstr>MehrProzesse13</vt:lpstr>
      <vt:lpstr>MehrProzesse14</vt:lpstr>
      <vt:lpstr>MehrProzesse2</vt:lpstr>
      <vt:lpstr>MehrProzesse3</vt:lpstr>
      <vt:lpstr>MehrProzesse4</vt:lpstr>
      <vt:lpstr>Mehrprozesse5</vt:lpstr>
      <vt:lpstr>MehrProzesse6</vt:lpstr>
      <vt:lpstr>MehrProzesse7</vt:lpstr>
      <vt:lpstr>MehrProzesse8</vt:lpstr>
      <vt:lpstr>MehrProzesse9</vt:lpstr>
      <vt:lpstr>MErechSet</vt:lpstr>
      <vt:lpstr>MErechWahl</vt:lpstr>
      <vt:lpstr>Multiplikation1</vt:lpstr>
      <vt:lpstr>Multiplikation2</vt:lpstr>
      <vt:lpstr>PMSet</vt:lpstr>
      <vt:lpstr>PMWahl</vt:lpstr>
      <vt:lpstr>RE</vt:lpstr>
      <vt:lpstr>REbinKoef</vt:lpstr>
      <vt:lpstr>REinv</vt:lpstr>
      <vt:lpstr>RohSet</vt:lpstr>
      <vt:lpstr>RohWahl</vt:lpstr>
      <vt:lpstr>RZ</vt:lpstr>
      <vt:lpstr>RZbinKoef</vt:lpstr>
      <vt:lpstr>RZinv</vt:lpstr>
      <vt:lpstr>RZinvSet</vt:lpstr>
      <vt:lpstr>RZinvWahl</vt:lpstr>
      <vt:lpstr>Symbol11</vt:lpstr>
      <vt:lpstr>Symbol22</vt:lpstr>
      <vt:lpstr>Symbol23</vt:lpstr>
      <vt:lpstr>Symbol24</vt:lpstr>
      <vt:lpstr>Symbol32</vt:lpstr>
      <vt:lpstr>Symbol33</vt:lpstr>
      <vt:lpstr>Symbol34</vt:lpstr>
      <vt:lpstr>Symbol42</vt:lpstr>
      <vt:lpstr>Symbol43</vt:lpstr>
      <vt:lpstr>Symbol44</vt:lpstr>
      <vt:lpstr>TestRng</vt:lpstr>
      <vt:lpstr>ZE</vt:lpstr>
      <vt:lpstr>ZEbinKoef</vt:lpstr>
      <vt:lpstr>ZEinv</vt:lpstr>
      <vt:lpstr>ZEinvSet</vt:lpstr>
      <vt:lpstr>ZEinvWahl</vt:lpstr>
      <vt:lpstr>ZwischenSet</vt:lpstr>
      <vt:lpstr>ZwischenWahl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fue</dc:creator>
  <cp:lastModifiedBy>Sven Führing</cp:lastModifiedBy>
  <dcterms:created xsi:type="dcterms:W3CDTF">2022-09-26T19:08:16Z</dcterms:created>
  <dcterms:modified xsi:type="dcterms:W3CDTF">2024-05-22T18:39:33Z</dcterms:modified>
</cp:coreProperties>
</file>